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p\Desktop\AI_Enabled_FPA_Command_Center\02_Excel_Model\"/>
    </mc:Choice>
  </mc:AlternateContent>
  <xr:revisionPtr revIDLastSave="0" documentId="13_ncr:1_{95CC26CA-8502-4840-B623-111CD2E01D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vA_Report" sheetId="14" r:id="rId1"/>
    <sheet name="README" sheetId="1" r:id="rId2"/>
    <sheet name="Revenue_Data" sheetId="2" r:id="rId3"/>
    <sheet name="Customers" sheetId="3" r:id="rId4"/>
    <sheet name="Date_Table" sheetId="4" r:id="rId5"/>
    <sheet name="Expense_Data" sheetId="5" r:id="rId6"/>
    <sheet name="Budget_Data" sheetId="6" r:id="rId7"/>
    <sheet name="KPI_Data" sheetId="7" r:id="rId8"/>
    <sheet name="Scenario_Inputs" sheetId="8" r:id="rId9"/>
    <sheet name="Monthly_Summary" sheetId="9" r:id="rId10"/>
    <sheet name="Budget_vs_Actual" sheetId="10" r:id="rId11"/>
    <sheet name="P&amp;L_Model" sheetId="11" r:id="rId12"/>
    <sheet name="Scenario_Analysis" sheetId="12" r:id="rId13"/>
    <sheet name="CFO_Summary" sheetId="13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4" l="1"/>
  <c r="L9" i="14" s="1"/>
  <c r="K9" i="14"/>
  <c r="G9" i="14"/>
  <c r="E9" i="14"/>
  <c r="F9" i="14"/>
  <c r="H9" i="14"/>
  <c r="I9" i="14"/>
  <c r="J9" i="14"/>
  <c r="M9" i="14"/>
  <c r="D9" i="14"/>
  <c r="M8" i="14"/>
  <c r="L8" i="14"/>
  <c r="I8" i="14"/>
  <c r="H8" i="14"/>
  <c r="J8" i="14" s="1"/>
  <c r="K8" i="14" s="1"/>
  <c r="E8" i="14"/>
  <c r="D8" i="14"/>
  <c r="F8" i="14" s="1"/>
  <c r="G8" i="14" s="1"/>
  <c r="C8" i="14"/>
  <c r="B8" i="14"/>
  <c r="M7" i="14"/>
  <c r="L7" i="14"/>
  <c r="I7" i="14"/>
  <c r="H7" i="14"/>
  <c r="J7" i="14" s="1"/>
  <c r="K7" i="14" s="1"/>
  <c r="E7" i="14"/>
  <c r="D7" i="14"/>
  <c r="C7" i="14"/>
  <c r="B7" i="14"/>
  <c r="M6" i="14"/>
  <c r="L6" i="14"/>
  <c r="I6" i="14"/>
  <c r="H6" i="14"/>
  <c r="E6" i="14"/>
  <c r="D6" i="14"/>
  <c r="F6" i="14" s="1"/>
  <c r="G6" i="14" s="1"/>
  <c r="C6" i="14"/>
  <c r="B6" i="14"/>
  <c r="M5" i="14"/>
  <c r="L5" i="14"/>
  <c r="I5" i="14"/>
  <c r="H5" i="14"/>
  <c r="E5" i="14"/>
  <c r="D5" i="14"/>
  <c r="F5" i="14" s="1"/>
  <c r="G5" i="14" s="1"/>
  <c r="C5" i="14"/>
  <c r="B5" i="14"/>
  <c r="M4" i="14"/>
  <c r="L4" i="14"/>
  <c r="I4" i="14"/>
  <c r="H4" i="14"/>
  <c r="J4" i="14" s="1"/>
  <c r="K4" i="14" s="1"/>
  <c r="E4" i="14"/>
  <c r="D4" i="14"/>
  <c r="C4" i="14"/>
  <c r="B4" i="14"/>
  <c r="M3" i="14"/>
  <c r="I3" i="14"/>
  <c r="H3" i="14"/>
  <c r="J3" i="14" s="1"/>
  <c r="K3" i="14" s="1"/>
  <c r="E3" i="14"/>
  <c r="D3" i="14"/>
  <c r="C3" i="14"/>
  <c r="B3" i="14"/>
  <c r="B12" i="13"/>
  <c r="B3" i="13"/>
  <c r="E6" i="12"/>
  <c r="D6" i="12"/>
  <c r="C6" i="12"/>
  <c r="B6" i="12"/>
  <c r="F6" i="12" s="1"/>
  <c r="E5" i="12"/>
  <c r="D5" i="12"/>
  <c r="C5" i="12"/>
  <c r="B5" i="12"/>
  <c r="E4" i="12"/>
  <c r="D4" i="12"/>
  <c r="C4" i="12"/>
  <c r="B4" i="12"/>
  <c r="M7" i="10"/>
  <c r="I7" i="10"/>
  <c r="E7" i="10"/>
  <c r="C7" i="10"/>
  <c r="B7" i="10"/>
  <c r="M6" i="10"/>
  <c r="I6" i="10"/>
  <c r="E6" i="10"/>
  <c r="C6" i="10"/>
  <c r="B6" i="10"/>
  <c r="M5" i="10"/>
  <c r="I5" i="10"/>
  <c r="H5" i="10"/>
  <c r="J5" i="10" s="1"/>
  <c r="K5" i="10" s="1"/>
  <c r="E5" i="10"/>
  <c r="C5" i="10"/>
  <c r="B5" i="10"/>
  <c r="M4" i="10"/>
  <c r="I4" i="10"/>
  <c r="E4" i="10"/>
  <c r="C4" i="10"/>
  <c r="B4" i="10"/>
  <c r="M3" i="10"/>
  <c r="I3" i="10"/>
  <c r="E3" i="10"/>
  <c r="C3" i="10"/>
  <c r="B3" i="10"/>
  <c r="M2" i="10"/>
  <c r="I2" i="10"/>
  <c r="E2" i="10"/>
  <c r="C2" i="10"/>
  <c r="B2" i="10"/>
  <c r="N7" i="9"/>
  <c r="M7" i="9"/>
  <c r="B13" i="13" s="1"/>
  <c r="L7" i="9"/>
  <c r="K7" i="9"/>
  <c r="B11" i="13" s="1"/>
  <c r="H7" i="9"/>
  <c r="B7" i="13" s="1"/>
  <c r="E7" i="9"/>
  <c r="G6" i="11" s="1"/>
  <c r="D7" i="9"/>
  <c r="F4" i="12" s="1"/>
  <c r="C7" i="9"/>
  <c r="B7" i="9"/>
  <c r="N6" i="9"/>
  <c r="M6" i="9"/>
  <c r="L6" i="9"/>
  <c r="K6" i="9"/>
  <c r="H6" i="9"/>
  <c r="E6" i="9"/>
  <c r="F6" i="11" s="1"/>
  <c r="D6" i="9"/>
  <c r="G6" i="9" s="1"/>
  <c r="I6" i="9" s="1"/>
  <c r="C6" i="9"/>
  <c r="B6" i="9"/>
  <c r="N5" i="9"/>
  <c r="M5" i="9"/>
  <c r="L5" i="9"/>
  <c r="K5" i="9"/>
  <c r="H5" i="9"/>
  <c r="G5" i="9"/>
  <c r="I5" i="9" s="1"/>
  <c r="F5" i="9"/>
  <c r="E3" i="11" s="1"/>
  <c r="E5" i="9"/>
  <c r="E6" i="11" s="1"/>
  <c r="D5" i="9"/>
  <c r="E2" i="11" s="1"/>
  <c r="E4" i="11" s="1"/>
  <c r="C5" i="9"/>
  <c r="B5" i="9"/>
  <c r="N4" i="9"/>
  <c r="M4" i="9"/>
  <c r="L4" i="9"/>
  <c r="K4" i="9"/>
  <c r="H4" i="9"/>
  <c r="E4" i="9"/>
  <c r="H4" i="10" s="1"/>
  <c r="J4" i="10" s="1"/>
  <c r="K4" i="10" s="1"/>
  <c r="D4" i="9"/>
  <c r="G4" i="9" s="1"/>
  <c r="I4" i="9" s="1"/>
  <c r="C4" i="9"/>
  <c r="B4" i="9"/>
  <c r="N3" i="9"/>
  <c r="M3" i="9"/>
  <c r="L3" i="9"/>
  <c r="K3" i="9"/>
  <c r="H3" i="9"/>
  <c r="E3" i="9"/>
  <c r="C6" i="11" s="1"/>
  <c r="D3" i="9"/>
  <c r="C3" i="9"/>
  <c r="B3" i="9"/>
  <c r="N2" i="9"/>
  <c r="M2" i="9"/>
  <c r="L2" i="9"/>
  <c r="K2" i="9"/>
  <c r="H2" i="9"/>
  <c r="G2" i="9" s="1"/>
  <c r="E2" i="9"/>
  <c r="H2" i="10" s="1"/>
  <c r="J2" i="10" s="1"/>
  <c r="K2" i="10" s="1"/>
  <c r="D2" i="9"/>
  <c r="D2" i="10" s="1"/>
  <c r="F2" i="10" s="1"/>
  <c r="G2" i="10" s="1"/>
  <c r="C2" i="9"/>
  <c r="B2" i="9"/>
  <c r="C7" i="7"/>
  <c r="B7" i="7"/>
  <c r="C6" i="7"/>
  <c r="B6" i="7"/>
  <c r="C5" i="7"/>
  <c r="B5" i="7"/>
  <c r="C4" i="7"/>
  <c r="B4" i="7"/>
  <c r="C3" i="7"/>
  <c r="B3" i="7"/>
  <c r="C2" i="7"/>
  <c r="B2" i="7"/>
  <c r="C7" i="6"/>
  <c r="B7" i="6"/>
  <c r="C6" i="6"/>
  <c r="B6" i="6"/>
  <c r="C5" i="6"/>
  <c r="B5" i="6"/>
  <c r="C4" i="6"/>
  <c r="B4" i="6"/>
  <c r="C3" i="6"/>
  <c r="B3" i="6"/>
  <c r="C2" i="6"/>
  <c r="B2" i="6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C5" i="5"/>
  <c r="B5" i="5"/>
  <c r="C4" i="5"/>
  <c r="B4" i="5"/>
  <c r="C3" i="5"/>
  <c r="B3" i="5"/>
  <c r="C2" i="5"/>
  <c r="B2" i="5"/>
  <c r="A3" i="4"/>
  <c r="A4" i="4" s="1"/>
  <c r="D2" i="4"/>
  <c r="A2" i="4"/>
  <c r="B2" i="4" s="1"/>
  <c r="C23" i="2"/>
  <c r="B23" i="2"/>
  <c r="C22" i="2"/>
  <c r="B22" i="2"/>
  <c r="C21" i="2"/>
  <c r="B21" i="2"/>
  <c r="C20" i="2"/>
  <c r="B20" i="2"/>
  <c r="C19" i="2"/>
  <c r="B19" i="2"/>
  <c r="C18" i="2"/>
  <c r="B18" i="2"/>
  <c r="C17" i="2"/>
  <c r="B17" i="2"/>
  <c r="C16" i="2"/>
  <c r="B16" i="2"/>
  <c r="C15" i="2"/>
  <c r="B15" i="2"/>
  <c r="C14" i="2"/>
  <c r="B14" i="2"/>
  <c r="C13" i="2"/>
  <c r="B13" i="2"/>
  <c r="C12" i="2"/>
  <c r="B12" i="2"/>
  <c r="C11" i="2"/>
  <c r="B11" i="2"/>
  <c r="C10" i="2"/>
  <c r="B10" i="2"/>
  <c r="C9" i="2"/>
  <c r="B9" i="2"/>
  <c r="C8" i="2"/>
  <c r="B8" i="2"/>
  <c r="C7" i="2"/>
  <c r="B7" i="2"/>
  <c r="C6" i="2"/>
  <c r="B6" i="2"/>
  <c r="C5" i="2"/>
  <c r="B5" i="2"/>
  <c r="C4" i="2"/>
  <c r="B4" i="2"/>
  <c r="C3" i="2"/>
  <c r="B3" i="2"/>
  <c r="C2" i="2"/>
  <c r="B2" i="2"/>
  <c r="N4" i="14" l="1"/>
  <c r="O4" i="14" s="1"/>
  <c r="N5" i="14"/>
  <c r="O5" i="14" s="1"/>
  <c r="N6" i="14"/>
  <c r="O6" i="14" s="1"/>
  <c r="N8" i="14"/>
  <c r="O8" i="14" s="1"/>
  <c r="J5" i="14"/>
  <c r="K5" i="14" s="1"/>
  <c r="N3" i="14"/>
  <c r="J6" i="14"/>
  <c r="K6" i="14" s="1"/>
  <c r="F7" i="14"/>
  <c r="G7" i="14" s="1"/>
  <c r="F3" i="14"/>
  <c r="G3" i="14" s="1"/>
  <c r="F4" i="14"/>
  <c r="G4" i="14" s="1"/>
  <c r="N7" i="14"/>
  <c r="O7" i="14" s="1"/>
  <c r="E5" i="11"/>
  <c r="E7" i="11"/>
  <c r="E8" i="11" s="1"/>
  <c r="G6" i="12"/>
  <c r="E8" i="13"/>
  <c r="B4" i="4"/>
  <c r="A5" i="4"/>
  <c r="D4" i="4"/>
  <c r="C4" i="4"/>
  <c r="J5" i="9"/>
  <c r="L5" i="10"/>
  <c r="N5" i="10" s="1"/>
  <c r="O5" i="10" s="1"/>
  <c r="L6" i="10"/>
  <c r="N6" i="10" s="1"/>
  <c r="O6" i="10" s="1"/>
  <c r="J6" i="9"/>
  <c r="G4" i="12"/>
  <c r="E6" i="13"/>
  <c r="I2" i="9"/>
  <c r="F2" i="9"/>
  <c r="B3" i="11" s="1"/>
  <c r="F3" i="9"/>
  <c r="C3" i="11" s="1"/>
  <c r="L4" i="10"/>
  <c r="N4" i="10" s="1"/>
  <c r="O4" i="10" s="1"/>
  <c r="J4" i="9"/>
  <c r="C2" i="4"/>
  <c r="G3" i="9"/>
  <c r="I3" i="9" s="1"/>
  <c r="H3" i="10"/>
  <c r="J3" i="10" s="1"/>
  <c r="K3" i="10" s="1"/>
  <c r="D5" i="10"/>
  <c r="F5" i="10" s="1"/>
  <c r="G5" i="10" s="1"/>
  <c r="H7" i="10"/>
  <c r="J7" i="10" s="1"/>
  <c r="K7" i="10" s="1"/>
  <c r="B2" i="11"/>
  <c r="B4" i="11" s="1"/>
  <c r="B6" i="11"/>
  <c r="C2" i="11"/>
  <c r="B8" i="13"/>
  <c r="D4" i="10"/>
  <c r="F4" i="10" s="1"/>
  <c r="G4" i="10" s="1"/>
  <c r="H6" i="10"/>
  <c r="J6" i="10" s="1"/>
  <c r="K6" i="10" s="1"/>
  <c r="D2" i="11"/>
  <c r="D6" i="11"/>
  <c r="B3" i="4"/>
  <c r="F4" i="9"/>
  <c r="D3" i="11" s="1"/>
  <c r="G7" i="9"/>
  <c r="I7" i="9" s="1"/>
  <c r="D3" i="10"/>
  <c r="F3" i="10" s="1"/>
  <c r="G3" i="10" s="1"/>
  <c r="D7" i="10"/>
  <c r="F7" i="10" s="1"/>
  <c r="G7" i="10" s="1"/>
  <c r="F2" i="11"/>
  <c r="F5" i="12"/>
  <c r="C3" i="4"/>
  <c r="D3" i="4"/>
  <c r="G2" i="11"/>
  <c r="B6" i="13"/>
  <c r="F6" i="9"/>
  <c r="F3" i="11" s="1"/>
  <c r="D6" i="10"/>
  <c r="F6" i="10" s="1"/>
  <c r="G6" i="10" s="1"/>
  <c r="O3" i="14" l="1"/>
  <c r="N9" i="14"/>
  <c r="O9" i="14" s="1"/>
  <c r="G5" i="12"/>
  <c r="E7" i="13"/>
  <c r="F4" i="11"/>
  <c r="D4" i="11"/>
  <c r="J2" i="9"/>
  <c r="L2" i="10"/>
  <c r="N2" i="10" s="1"/>
  <c r="O2" i="10" s="1"/>
  <c r="B7" i="11"/>
  <c r="B8" i="11" s="1"/>
  <c r="B5" i="11"/>
  <c r="A6" i="4"/>
  <c r="D5" i="4"/>
  <c r="C5" i="4"/>
  <c r="B5" i="4"/>
  <c r="L3" i="10"/>
  <c r="N3" i="10" s="1"/>
  <c r="O3" i="10" s="1"/>
  <c r="J3" i="9"/>
  <c r="J7" i="9"/>
  <c r="B10" i="13" s="1"/>
  <c r="L7" i="10"/>
  <c r="N7" i="10" s="1"/>
  <c r="O7" i="10" s="1"/>
  <c r="B9" i="13"/>
  <c r="C4" i="11"/>
  <c r="F7" i="9"/>
  <c r="G3" i="11" s="1"/>
  <c r="G4" i="11" s="1"/>
  <c r="G5" i="11" l="1"/>
  <c r="G7" i="11"/>
  <c r="G8" i="11" s="1"/>
  <c r="D5" i="11"/>
  <c r="D7" i="11"/>
  <c r="D8" i="11" s="1"/>
  <c r="F5" i="11"/>
  <c r="F7" i="11"/>
  <c r="F8" i="11" s="1"/>
  <c r="C7" i="11"/>
  <c r="C8" i="11" s="1"/>
  <c r="C5" i="11"/>
  <c r="B6" i="4"/>
  <c r="D6" i="4"/>
  <c r="A7" i="4"/>
  <c r="C6" i="4"/>
  <c r="D7" i="4" l="1"/>
  <c r="C7" i="4"/>
  <c r="B7" i="4"/>
</calcChain>
</file>

<file path=xl/sharedStrings.xml><?xml version="1.0" encoding="utf-8"?>
<sst xmlns="http://schemas.openxmlformats.org/spreadsheetml/2006/main" count="334" uniqueCount="145">
  <si>
    <t>NovaPay FP&amp;A Model
Purpose:
This Excel model analyzes monthly revenue, expenses, budget vs actual performance, EBITDA, churn, CAC, and scenario planning for a fictional fintech subscription business.
Data Sources:
Revenue_Data
Expense_Data
Budget_Data
KPI_Data
Scenario_Inputs
Main Outputs:
Monthly Summary
Budget vs Actual Analysis
P&amp;L Model
Scenario Analysis
CFO Summary</t>
  </si>
  <si>
    <t>Month</t>
  </si>
  <si>
    <t>Month_Label</t>
  </si>
  <si>
    <t>Month_Number</t>
  </si>
  <si>
    <t>Customer_ID</t>
  </si>
  <si>
    <t>Subscription_Revenue</t>
  </si>
  <si>
    <t>Transaction_Volume</t>
  </si>
  <si>
    <t>Transaction_Fee_Revenue</t>
  </si>
  <si>
    <t>Premium_Analytics_Revenue</t>
  </si>
  <si>
    <t>Setup_Fee_Revenue</t>
  </si>
  <si>
    <t>Total_Revenue</t>
  </si>
  <si>
    <t>C001</t>
  </si>
  <si>
    <t>C002</t>
  </si>
  <si>
    <t>C003</t>
  </si>
  <si>
    <t>C004</t>
  </si>
  <si>
    <t>C005</t>
  </si>
  <si>
    <t>C006</t>
  </si>
  <si>
    <t>Customer_Name</t>
  </si>
  <si>
    <t>Acme Corp</t>
  </si>
  <si>
    <t>TechStart Ltd</t>
  </si>
  <si>
    <t>BluePeak Systems</t>
  </si>
  <si>
    <t>Nova Retail Group</t>
  </si>
  <si>
    <t>FinEdge Partners</t>
  </si>
  <si>
    <t>CloudBridge Inc</t>
  </si>
  <si>
    <t>Month_Date</t>
  </si>
  <si>
    <t>Month_Year</t>
  </si>
  <si>
    <t>Department</t>
  </si>
  <si>
    <t>Expense_Category</t>
  </si>
  <si>
    <t>Budget_Expense</t>
  </si>
  <si>
    <t>Actual_Expense</t>
  </si>
  <si>
    <t>Vendor</t>
  </si>
  <si>
    <t>Cost_Type</t>
  </si>
  <si>
    <t>Sales</t>
  </si>
  <si>
    <t>Payroll</t>
  </si>
  <si>
    <t>Internal Payroll</t>
  </si>
  <si>
    <t>Fixed</t>
  </si>
  <si>
    <t>Marketing</t>
  </si>
  <si>
    <t>Marketing Spend</t>
  </si>
  <si>
    <t>Google Ads</t>
  </si>
  <si>
    <t>Variable</t>
  </si>
  <si>
    <t>Product</t>
  </si>
  <si>
    <t>Cloud Hosting</t>
  </si>
  <si>
    <t>AWS</t>
  </si>
  <si>
    <t>Customer Support</t>
  </si>
  <si>
    <t>Customer Support Tools</t>
  </si>
  <si>
    <t>Zendesk</t>
  </si>
  <si>
    <t>Operations</t>
  </si>
  <si>
    <t>Software</t>
  </si>
  <si>
    <t>Salesforce</t>
  </si>
  <si>
    <t>G&amp;A</t>
  </si>
  <si>
    <t>Rent</t>
  </si>
  <si>
    <t>WeWork</t>
  </si>
  <si>
    <t>Professional Fees</t>
  </si>
  <si>
    <t>Deloitte</t>
  </si>
  <si>
    <t>Budget_Subscription_Revenue</t>
  </si>
  <si>
    <t>Budget_Transaction_Fee_Revenue</t>
  </si>
  <si>
    <t>Budget_Premium_Revenue</t>
  </si>
  <si>
    <t>Budget_Setup_Fee_Revenue</t>
  </si>
  <si>
    <t>Budget_Total_Revenue</t>
  </si>
  <si>
    <t>Budget_COGS</t>
  </si>
  <si>
    <t>Budget_Operating_Expenses</t>
  </si>
  <si>
    <t>Budget_EBITDA</t>
  </si>
  <si>
    <t>Active_Customers</t>
  </si>
  <si>
    <t>New_Customers</t>
  </si>
  <si>
    <t>Lost_Customers</t>
  </si>
  <si>
    <t>Churn_Rate</t>
  </si>
  <si>
    <t>Average_Revenue_Per_Customer</t>
  </si>
  <si>
    <t>CAC</t>
  </si>
  <si>
    <t>Gross_Margin</t>
  </si>
  <si>
    <t>Net_Revenue_Retention</t>
  </si>
  <si>
    <t>Scenario</t>
  </si>
  <si>
    <t>Customer_Growth_Rate</t>
  </si>
  <si>
    <t>Transaction_Volume_Growth</t>
  </si>
  <si>
    <t>Pricing_Increase</t>
  </si>
  <si>
    <t>CAC_Change</t>
  </si>
  <si>
    <t>Payroll_Inflation</t>
  </si>
  <si>
    <t>Marketing_Spend_Change</t>
  </si>
  <si>
    <t>Base Case</t>
  </si>
  <si>
    <t>Upside Case</t>
  </si>
  <si>
    <t>Downside Case</t>
  </si>
  <si>
    <t>Actual_Revenue</t>
  </si>
  <si>
    <t>Actual_Expenses</t>
  </si>
  <si>
    <t>Actual_COGS</t>
  </si>
  <si>
    <t>Gross_Profit</t>
  </si>
  <si>
    <t>EBITDA</t>
  </si>
  <si>
    <t>EBITDA_Margin</t>
  </si>
  <si>
    <t>Budget_Revenue</t>
  </si>
  <si>
    <t>Revenue_Variance</t>
  </si>
  <si>
    <t>Revenue_Variance_%</t>
  </si>
  <si>
    <t>Budget_Expenses</t>
  </si>
  <si>
    <t>Expense_Variance</t>
  </si>
  <si>
    <t>Expense_Variance_%</t>
  </si>
  <si>
    <t>Actual_EBITDA</t>
  </si>
  <si>
    <t>EBITDA_Variance</t>
  </si>
  <si>
    <t>EBITDA_Variance_%</t>
  </si>
  <si>
    <t>Metric</t>
  </si>
  <si>
    <t>Revenue</t>
  </si>
  <si>
    <t>COGS</t>
  </si>
  <si>
    <t>Gross Profit</t>
  </si>
  <si>
    <t>Gross Margin %</t>
  </si>
  <si>
    <t>Operating Expenses</t>
  </si>
  <si>
    <t>EBITDA Margin %</t>
  </si>
  <si>
    <t>NovaPay Analytics - Scenario Analysis</t>
  </si>
  <si>
    <t>Revenue_Growth</t>
  </si>
  <si>
    <t>Forecast_Revenue</t>
  </si>
  <si>
    <t>Forecast_EBITDA</t>
  </si>
  <si>
    <t>Scenario Interpretation</t>
  </si>
  <si>
    <t>Base Case:</t>
  </si>
  <si>
    <t>Revenue improves under normal growth assumptions, but EBITDA remains dependent on expense discipline.</t>
  </si>
  <si>
    <t>Upside Case:</t>
  </si>
  <si>
    <t>Higher customer growth and lower churn improve the path toward profitability.</t>
  </si>
  <si>
    <t>Downside Case:</t>
  </si>
  <si>
    <t>Higher churn, higher CAC, and payroll inflation create additional pressure on EBITDA and cash runway.</t>
  </si>
  <si>
    <t>NovaPay Analytics - CFO Summary</t>
  </si>
  <si>
    <t>Latest Month:</t>
  </si>
  <si>
    <t>Key Metrics</t>
  </si>
  <si>
    <t>Scenario Summary</t>
  </si>
  <si>
    <t>Total Revenue</t>
  </si>
  <si>
    <t>Base Case Forecast Revenue</t>
  </si>
  <si>
    <t>Gross Margin</t>
  </si>
  <si>
    <t>Upside Case Forecast Revenue</t>
  </si>
  <si>
    <t>Downside Case Forecast Revenue</t>
  </si>
  <si>
    <t>EBITDA Margin</t>
  </si>
  <si>
    <t>Active Customers</t>
  </si>
  <si>
    <t>Churn Rate</t>
  </si>
  <si>
    <t>Key Insights</t>
  </si>
  <si>
    <t>1. Revenue is growing, but profitability remains negative due to high operating expenses.</t>
  </si>
  <si>
    <t>2. Marketing spend and cloud hosting are major cost pressure areas.</t>
  </si>
  <si>
    <t>3. Churn increased in June, creating risk for recurring revenue quality.</t>
  </si>
  <si>
    <t>4. Scenario planning shows profitability depends on customer growth, CAC control, and expense discipline.</t>
  </si>
  <si>
    <t>Recommended Actions</t>
  </si>
  <si>
    <t>1. Reduce high-variance marketing spend and track campaign-level ROI.</t>
  </si>
  <si>
    <t>2. Monitor churn by customer segment and create retention actions for at-risk customers.</t>
  </si>
  <si>
    <t>3. Improve conversion from Basic to Premium plan to increase recurring revenue quality.</t>
  </si>
  <si>
    <t>4. Control cloud hosting costs as transaction volume grows.</t>
  </si>
  <si>
    <t>NovaPay: Budget vs. Actual, Jan–Jun 2024 (fictional company)</t>
  </si>
  <si>
    <t>Actual Revenue</t>
  </si>
  <si>
    <t>Budget Revenue</t>
  </si>
  <si>
    <t>Variance</t>
  </si>
  <si>
    <t>Actual Opex</t>
  </si>
  <si>
    <t>Budget Opex</t>
  </si>
  <si>
    <t>Var %</t>
  </si>
  <si>
    <t>Actual EBITDA</t>
  </si>
  <si>
    <t>Budget EBITDA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</si>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</sst>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164" formatCode="m/d/yy"/>
    <numFmt numFmtId="165" formatCode="mmm\-yy"/>
    <numFmt numFmtId="179" formatCode="0.0%"/>
    <numFmt numFmtId="182" formatCode="&quot;$&quot;#,##0;\(&quot;$&quot;#,##0\)"/>
    <numFmt numFmtId="183" formatCode="&quot;$&quot;#,##0;[Red]\(&quot;$&quot;#,##0\)"/>
    <numFmt numFmtId="184" formatCode="[Red]&quot;$&quot;#,##0;\(&quot;$&quot;#,##0\)"/>
    <numFmt numFmtId="185" formatCode="[Red]0.0%;\(0.0%\)"/>
  </numFmts>
  <fonts count="11">
    <font>
      <sz val="11"/>
      <color theme="1"/>
      <name val="Aptos Narrow"/>
    </font>
    <font>
      <b/>
      <sz val="11"/>
      <color theme="1"/>
      <name val="Aptos Narrow"/>
    </font>
    <font>
      <b/>
      <sz val="12"/>
      <color theme="1"/>
      <name val="Aptos Narrow"/>
    </font>
    <font>
      <b/>
      <sz val="16"/>
      <color theme="1"/>
      <name val="Aptos Narrow"/>
    </font>
    <font>
      <sz val="10"/>
      <color theme="1"/>
      <name val="Arial Unicode MS"/>
    </font>
    <font>
      <sz val="11"/>
      <color theme="1"/>
      <name val="Aptos Narrow"/>
    </font>
    <font>
      <sz val="11"/>
      <color theme="1"/>
      <name val="Aptos Narrow"/>
      <family val="2"/>
    </font>
    <font>
      <sz val="11"/>
      <color rgb="FFFF0000"/>
      <name val="Aptos Narrow"/>
      <family val="2"/>
    </font>
    <font>
      <b/>
      <sz val="14"/>
      <color theme="0"/>
      <name val="Aptos Narrow"/>
      <family val="2"/>
    </font>
    <font>
      <b/>
      <sz val="11"/>
      <color theme="1"/>
      <name val="Aptos Narrow"/>
      <family val="2"/>
    </font>
    <font>
      <b/>
      <sz val="12"/>
      <color theme="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98">
    <xf numFmtId="0" fontId="0" fillId="0" borderId="0" xfId="0"/>
    <xf numFmtId="14" fontId="0" fillId="0" borderId="0" xfId="0" applyNumberFormat="1"/>
    <xf numFmtId="0" fontId="0" fillId="0" borderId="0" xfId="0" applyAlignment="1">
      <alignment vertical="center" wrapText="1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 wrapText="1"/>
    </xf>
    <xf numFmtId="0" fontId="0" fillId="0" borderId="4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3" xfId="0" applyBorder="1"/>
    <xf numFmtId="44" fontId="0" fillId="0" borderId="0" xfId="0" applyNumberFormat="1"/>
    <xf numFmtId="44" fontId="0" fillId="0" borderId="4" xfId="0" applyNumberFormat="1" applyBorder="1"/>
    <xf numFmtId="10" fontId="0" fillId="0" borderId="0" xfId="0" applyNumberFormat="1"/>
    <xf numFmtId="10" fontId="0" fillId="0" borderId="4" xfId="0" applyNumberFormat="1" applyBorder="1"/>
    <xf numFmtId="0" fontId="0" fillId="0" borderId="5" xfId="0" applyBorder="1"/>
    <xf numFmtId="10" fontId="0" fillId="0" borderId="11" xfId="0" applyNumberFormat="1" applyBorder="1"/>
    <xf numFmtId="10" fontId="0" fillId="0" borderId="6" xfId="0" applyNumberFormat="1" applyBorder="1"/>
    <xf numFmtId="17" fontId="0" fillId="0" borderId="10" xfId="0" applyNumberFormat="1" applyBorder="1"/>
    <xf numFmtId="0" fontId="0" fillId="0" borderId="9" xfId="0" applyBorder="1" applyAlignment="1">
      <alignment vertical="center" wrapText="1"/>
    </xf>
    <xf numFmtId="44" fontId="0" fillId="0" borderId="11" xfId="0" applyNumberFormat="1" applyBorder="1"/>
    <xf numFmtId="44" fontId="0" fillId="0" borderId="6" xfId="0" applyNumberFormat="1" applyBorder="1"/>
    <xf numFmtId="0" fontId="1" fillId="0" borderId="7" xfId="0" applyFont="1" applyBorder="1"/>
    <xf numFmtId="0" fontId="1" fillId="0" borderId="8" xfId="0" applyFont="1" applyBorder="1"/>
    <xf numFmtId="0" fontId="0" fillId="0" borderId="13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10" fontId="0" fillId="0" borderId="17" xfId="0" applyNumberFormat="1" applyBorder="1" applyAlignment="1">
      <alignment vertical="center" wrapText="1"/>
    </xf>
    <xf numFmtId="44" fontId="0" fillId="0" borderId="17" xfId="0" applyNumberFormat="1" applyBorder="1" applyAlignment="1">
      <alignment vertical="center" wrapText="1"/>
    </xf>
    <xf numFmtId="0" fontId="0" fillId="0" borderId="17" xfId="0" applyBorder="1" applyAlignment="1">
      <alignment vertical="center" wrapText="1"/>
    </xf>
    <xf numFmtId="0" fontId="0" fillId="0" borderId="18" xfId="0" applyBorder="1" applyAlignment="1">
      <alignment vertical="center" wrapText="1"/>
    </xf>
    <xf numFmtId="44" fontId="0" fillId="0" borderId="19" xfId="0" applyNumberFormat="1" applyBorder="1" applyAlignment="1">
      <alignment vertical="center" wrapText="1"/>
    </xf>
    <xf numFmtId="0" fontId="0" fillId="0" borderId="20" xfId="0" applyBorder="1" applyAlignment="1">
      <alignment vertical="center" wrapText="1"/>
    </xf>
    <xf numFmtId="44" fontId="0" fillId="0" borderId="15" xfId="0" applyNumberFormat="1" applyBorder="1" applyAlignment="1">
      <alignment horizontal="center" vertical="center" wrapText="1"/>
    </xf>
    <xf numFmtId="10" fontId="0" fillId="0" borderId="0" xfId="0" applyNumberFormat="1" applyAlignment="1">
      <alignment vertical="center" wrapText="1"/>
    </xf>
    <xf numFmtId="10" fontId="0" fillId="0" borderId="11" xfId="0" applyNumberFormat="1" applyBorder="1" applyAlignment="1">
      <alignment vertical="center" wrapText="1"/>
    </xf>
    <xf numFmtId="44" fontId="0" fillId="0" borderId="20" xfId="0" applyNumberFormat="1" applyBorder="1"/>
    <xf numFmtId="44" fontId="0" fillId="0" borderId="13" xfId="0" applyNumberFormat="1" applyBorder="1"/>
    <xf numFmtId="0" fontId="1" fillId="0" borderId="21" xfId="0" applyFont="1" applyBorder="1"/>
    <xf numFmtId="0" fontId="4" fillId="0" borderId="0" xfId="0" applyFont="1"/>
    <xf numFmtId="0" fontId="0" fillId="0" borderId="25" xfId="0" applyBorder="1"/>
    <xf numFmtId="14" fontId="0" fillId="0" borderId="27" xfId="0" applyNumberFormat="1" applyBorder="1"/>
    <xf numFmtId="164" fontId="0" fillId="0" borderId="0" xfId="0" applyNumberFormat="1"/>
    <xf numFmtId="164" fontId="0" fillId="0" borderId="0" xfId="0" applyNumberFormat="1" applyAlignment="1">
      <alignment vertical="center" wrapText="1"/>
    </xf>
    <xf numFmtId="164" fontId="0" fillId="0" borderId="3" xfId="0" applyNumberFormat="1" applyBorder="1"/>
    <xf numFmtId="164" fontId="0" fillId="0" borderId="5" xfId="0" applyNumberFormat="1" applyBorder="1"/>
    <xf numFmtId="1" fontId="0" fillId="0" borderId="0" xfId="0" applyNumberFormat="1"/>
    <xf numFmtId="1" fontId="0" fillId="0" borderId="22" xfId="0" applyNumberFormat="1" applyBorder="1"/>
    <xf numFmtId="1" fontId="0" fillId="0" borderId="0" xfId="0" applyNumberFormat="1" applyAlignment="1">
      <alignment vertical="center" wrapText="1"/>
    </xf>
    <xf numFmtId="165" fontId="0" fillId="0" borderId="9" xfId="0" applyNumberFormat="1" applyBorder="1"/>
    <xf numFmtId="165" fontId="0" fillId="0" borderId="10" xfId="0" applyNumberFormat="1" applyBorder="1"/>
    <xf numFmtId="0" fontId="0" fillId="0" borderId="0" xfId="0" applyAlignment="1">
      <alignment horizontal="center" wrapText="1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0" fillId="0" borderId="13" xfId="0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3" xfId="0" applyBorder="1" applyAlignment="1">
      <alignment horizontal="center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6" fillId="0" borderId="0" xfId="0" applyFont="1"/>
    <xf numFmtId="179" fontId="0" fillId="0" borderId="22" xfId="2" applyNumberFormat="1" applyFont="1" applyBorder="1"/>
    <xf numFmtId="0" fontId="6" fillId="0" borderId="24" xfId="0" applyFont="1" applyBorder="1"/>
    <xf numFmtId="179" fontId="6" fillId="0" borderId="25" xfId="2" applyNumberFormat="1" applyFont="1" applyBorder="1"/>
    <xf numFmtId="179" fontId="7" fillId="0" borderId="22" xfId="2" applyNumberFormat="1" applyFont="1" applyBorder="1"/>
    <xf numFmtId="179" fontId="7" fillId="0" borderId="23" xfId="2" applyNumberFormat="1" applyFont="1" applyBorder="1"/>
    <xf numFmtId="179" fontId="7" fillId="0" borderId="26" xfId="2" applyNumberFormat="1" applyFont="1" applyBorder="1"/>
    <xf numFmtId="182" fontId="0" fillId="0" borderId="22" xfId="1" applyNumberFormat="1" applyFont="1" applyBorder="1"/>
    <xf numFmtId="182" fontId="6" fillId="0" borderId="25" xfId="1" applyNumberFormat="1" applyFont="1" applyBorder="1"/>
    <xf numFmtId="182" fontId="0" fillId="0" borderId="22" xfId="0" applyNumberFormat="1" applyBorder="1"/>
    <xf numFmtId="182" fontId="6" fillId="0" borderId="25" xfId="0" applyNumberFormat="1" applyFont="1" applyBorder="1"/>
    <xf numFmtId="183" fontId="7" fillId="0" borderId="22" xfId="0" applyNumberFormat="1" applyFont="1" applyBorder="1"/>
    <xf numFmtId="183" fontId="0" fillId="0" borderId="22" xfId="0" applyNumberFormat="1" applyBorder="1"/>
    <xf numFmtId="183" fontId="6" fillId="0" borderId="25" xfId="0" applyNumberFormat="1" applyFont="1" applyBorder="1"/>
    <xf numFmtId="183" fontId="7" fillId="0" borderId="22" xfId="1" applyNumberFormat="1" applyFont="1" applyBorder="1"/>
    <xf numFmtId="183" fontId="7" fillId="0" borderId="25" xfId="1" applyNumberFormat="1" applyFont="1" applyBorder="1"/>
    <xf numFmtId="184" fontId="0" fillId="0" borderId="22" xfId="1" applyNumberFormat="1" applyFont="1" applyBorder="1"/>
    <xf numFmtId="184" fontId="6" fillId="0" borderId="25" xfId="1" applyNumberFormat="1" applyFont="1" applyBorder="1"/>
    <xf numFmtId="185" fontId="0" fillId="0" borderId="22" xfId="2" applyNumberFormat="1" applyFont="1" applyBorder="1"/>
    <xf numFmtId="185" fontId="6" fillId="0" borderId="25" xfId="2" applyNumberFormat="1" applyFont="1" applyBorder="1"/>
    <xf numFmtId="0" fontId="9" fillId="0" borderId="8" xfId="0" applyFont="1" applyBorder="1" applyAlignment="1">
      <alignment horizontal="center" vertical="center"/>
    </xf>
    <xf numFmtId="0" fontId="10" fillId="2" borderId="24" xfId="0" applyFont="1" applyFill="1" applyBorder="1" applyAlignment="1">
      <alignment horizontal="center" vertical="center" wrapText="1"/>
    </xf>
    <xf numFmtId="0" fontId="10" fillId="2" borderId="25" xfId="0" applyFont="1" applyFill="1" applyBorder="1" applyAlignment="1">
      <alignment horizontal="center" vertical="center" wrapText="1"/>
    </xf>
    <xf numFmtId="0" fontId="10" fillId="2" borderId="26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2" borderId="28" xfId="0" applyFont="1" applyFill="1" applyBorder="1" applyAlignment="1">
      <alignment horizontal="center" vertic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Revenue" displayName="tblRevenue" ref="A1:J23">
  <autoFilter ref="A1:J23" xr:uid="{00000000-0009-0000-0100-000001000000}"/>
  <tableColumns count="10">
    <tableColumn id="1" xr3:uid="{00000000-0010-0000-0000-000001000000}" name="Month"/>
    <tableColumn id="9" xr3:uid="{00000000-0010-0000-0000-000009000000}" name="Month_Label"/>
    <tableColumn id="10" xr3:uid="{00000000-0010-0000-0000-00000A000000}" name="Month_Number"/>
    <tableColumn id="2" xr3:uid="{00000000-0010-0000-0000-000002000000}" name="Customer_ID"/>
    <tableColumn id="3" xr3:uid="{00000000-0010-0000-0000-000003000000}" name="Subscription_Revenue"/>
    <tableColumn id="4" xr3:uid="{00000000-0010-0000-0000-000004000000}" name="Transaction_Volume"/>
    <tableColumn id="5" xr3:uid="{00000000-0010-0000-0000-000005000000}" name="Transaction_Fee_Revenue"/>
    <tableColumn id="6" xr3:uid="{00000000-0010-0000-0000-000006000000}" name="Premium_Analytics_Revenue"/>
    <tableColumn id="7" xr3:uid="{00000000-0010-0000-0000-000007000000}" name="Setup_Fee_Revenue"/>
    <tableColumn id="8" xr3:uid="{00000000-0010-0000-0000-000008000000}" name="Total_Reven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tblCustomers" displayName="tblCustomers" ref="A1:B7">
  <autoFilter ref="A1:B7" xr:uid="{00000000-0009-0000-0100-000005000000}"/>
  <tableColumns count="2">
    <tableColumn id="1" xr3:uid="{00000000-0010-0000-0100-000001000000}" name="Customer_ID"/>
    <tableColumn id="2" xr3:uid="{00000000-0010-0000-0100-000002000000}" name="Customer_Nam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blDate" displayName="tblDate" ref="A1:D7">
  <autoFilter ref="A1:D7" xr:uid="{00000000-0009-0000-0100-000008000000}"/>
  <tableColumns count="4">
    <tableColumn id="1" xr3:uid="{00000000-0010-0000-0200-000001000000}" name="Month_Date"/>
    <tableColumn id="2" xr3:uid="{00000000-0010-0000-0200-000002000000}" name="Month_Label"/>
    <tableColumn id="3" xr3:uid="{00000000-0010-0000-0200-000003000000}" name="Month_Number"/>
    <tableColumn id="4" xr3:uid="{00000000-0010-0000-0200-000004000000}" name="Month_Yea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tblExpenses" displayName="tblExpenses" ref="A1:I37">
  <autoFilter ref="A1:I37" xr:uid="{00000000-0009-0000-0100-000002000000}"/>
  <tableColumns count="9">
    <tableColumn id="1" xr3:uid="{00000000-0010-0000-0300-000001000000}" name="Month"/>
    <tableColumn id="8" xr3:uid="{00000000-0010-0000-0300-000008000000}" name="Month_Label"/>
    <tableColumn id="9" xr3:uid="{00000000-0010-0000-0300-000009000000}" name="Month_Number"/>
    <tableColumn id="2" xr3:uid="{00000000-0010-0000-0300-000002000000}" name="Department"/>
    <tableColumn id="3" xr3:uid="{00000000-0010-0000-0300-000003000000}" name="Expense_Category"/>
    <tableColumn id="4" xr3:uid="{00000000-0010-0000-0300-000004000000}" name="Budget_Expense"/>
    <tableColumn id="5" xr3:uid="{00000000-0010-0000-0300-000005000000}" name="Actual_Expense"/>
    <tableColumn id="6" xr3:uid="{00000000-0010-0000-0300-000006000000}" name="Vendor"/>
    <tableColumn id="7" xr3:uid="{00000000-0010-0000-0300-000007000000}" name="Cost_Typ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4000000}" name="tblBudget" displayName="tblBudget" ref="A1:K7">
  <autoFilter ref="A1:K7" xr:uid="{00000000-0009-0000-0100-000003000000}"/>
  <tableColumns count="11">
    <tableColumn id="1" xr3:uid="{00000000-0010-0000-0400-000001000000}" name="Month"/>
    <tableColumn id="11" xr3:uid="{00000000-0010-0000-0400-00000B000000}" name="Month_Label"/>
    <tableColumn id="10" xr3:uid="{00000000-0010-0000-0400-00000A000000}" name="Month_Number"/>
    <tableColumn id="2" xr3:uid="{00000000-0010-0000-0400-000002000000}" name="Budget_Subscription_Revenue"/>
    <tableColumn id="3" xr3:uid="{00000000-0010-0000-0400-000003000000}" name="Budget_Transaction_Fee_Revenue"/>
    <tableColumn id="4" xr3:uid="{00000000-0010-0000-0400-000004000000}" name="Budget_Premium_Revenue"/>
    <tableColumn id="5" xr3:uid="{00000000-0010-0000-0400-000005000000}" name="Budget_Setup_Fee_Revenue"/>
    <tableColumn id="6" xr3:uid="{00000000-0010-0000-0400-000006000000}" name="Budget_Total_Revenue"/>
    <tableColumn id="7" xr3:uid="{00000000-0010-0000-0400-000007000000}" name="Budget_COGS"/>
    <tableColumn id="8" xr3:uid="{00000000-0010-0000-0400-000008000000}" name="Budget_Operating_Expenses"/>
    <tableColumn id="9" xr3:uid="{00000000-0010-0000-0400-000009000000}" name="Budget_EBITD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5000000}" name="tblKPI" displayName="tblKPI" ref="A1:K7">
  <autoFilter ref="A1:K7" xr:uid="{00000000-0009-0000-0100-000004000000}"/>
  <tableColumns count="11">
    <tableColumn id="1" xr3:uid="{00000000-0010-0000-0500-000001000000}" name="Month"/>
    <tableColumn id="10" xr3:uid="{00000000-0010-0000-0500-00000A000000}" name="Month_Label"/>
    <tableColumn id="11" xr3:uid="{00000000-0010-0000-0500-00000B000000}" name="Month_Number"/>
    <tableColumn id="2" xr3:uid="{00000000-0010-0000-0500-000002000000}" name="Active_Customers"/>
    <tableColumn id="3" xr3:uid="{00000000-0010-0000-0500-000003000000}" name="New_Customers"/>
    <tableColumn id="4" xr3:uid="{00000000-0010-0000-0500-000004000000}" name="Lost_Customers"/>
    <tableColumn id="5" xr3:uid="{00000000-0010-0000-0500-000005000000}" name="Churn_Rate"/>
    <tableColumn id="6" xr3:uid="{00000000-0010-0000-0500-000006000000}" name="Average_Revenue_Per_Customer"/>
    <tableColumn id="7" xr3:uid="{00000000-0010-0000-0500-000007000000}" name="CAC"/>
    <tableColumn id="8" xr3:uid="{00000000-0010-0000-0500-000008000000}" name="Gross_Margin"/>
    <tableColumn id="9" xr3:uid="{00000000-0010-0000-0500-000009000000}" name="Net_Revenue_Retentio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6000000}" name="tblScenarios" displayName="tblScenarios" ref="A1:H4">
  <autoFilter ref="A1:H4" xr:uid="{00000000-0009-0000-0100-000006000000}"/>
  <tableColumns count="8">
    <tableColumn id="1" xr3:uid="{00000000-0010-0000-0600-000001000000}" name="Scenario"/>
    <tableColumn id="2" xr3:uid="{00000000-0010-0000-0600-000002000000}" name="Customer_Growth_Rate"/>
    <tableColumn id="3" xr3:uid="{00000000-0010-0000-0600-000003000000}" name="Churn_Rate"/>
    <tableColumn id="4" xr3:uid="{00000000-0010-0000-0600-000004000000}" name="Transaction_Volume_Growth"/>
    <tableColumn id="5" xr3:uid="{00000000-0010-0000-0600-000005000000}" name="Pricing_Increase"/>
    <tableColumn id="6" xr3:uid="{00000000-0010-0000-0600-000006000000}" name="CAC_Change"/>
    <tableColumn id="7" xr3:uid="{00000000-0010-0000-0600-000007000000}" name="Payroll_Inflation"/>
    <tableColumn id="8" xr3:uid="{00000000-0010-0000-0600-000008000000}" name="Marketing_Spend_Chan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C65AE-E236-494E-92EC-47D5569A4C99}">
  <dimension ref="A1:S15"/>
  <sheetViews>
    <sheetView tabSelected="1" topLeftCell="B1" zoomScale="95" zoomScaleNormal="76" workbookViewId="0">
      <selection activeCell="S15" sqref="S15"/>
    </sheetView>
  </sheetViews>
  <sheetFormatPr defaultColWidth="12.44140625" defaultRowHeight="14.4"/>
  <cols>
    <col min="1" max="1" width="0" hidden="1" customWidth="1"/>
    <col min="3" max="3" width="0" hidden="1" customWidth="1"/>
  </cols>
  <sheetData>
    <row r="1" spans="1:19" ht="27" customHeight="1" thickBot="1">
      <c r="B1" s="97" t="s">
        <v>135</v>
      </c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</row>
    <row r="2" spans="1:19" s="96" customFormat="1" ht="47.4" thickBot="1">
      <c r="A2" s="92" t="s">
        <v>1</v>
      </c>
      <c r="B2" s="93" t="s">
        <v>1</v>
      </c>
      <c r="C2" s="94" t="s">
        <v>3</v>
      </c>
      <c r="D2" s="94" t="s">
        <v>136</v>
      </c>
      <c r="E2" s="94" t="s">
        <v>137</v>
      </c>
      <c r="F2" s="94" t="s">
        <v>138</v>
      </c>
      <c r="G2" s="94" t="s">
        <v>141</v>
      </c>
      <c r="H2" s="94" t="s">
        <v>139</v>
      </c>
      <c r="I2" s="94" t="s">
        <v>140</v>
      </c>
      <c r="J2" s="94" t="s">
        <v>138</v>
      </c>
      <c r="K2" s="94" t="s">
        <v>141</v>
      </c>
      <c r="L2" s="94" t="s">
        <v>142</v>
      </c>
      <c r="M2" s="94" t="s">
        <v>143</v>
      </c>
      <c r="N2" s="94" t="s">
        <v>138</v>
      </c>
      <c r="O2" s="95" t="s">
        <v>141</v>
      </c>
    </row>
    <row r="3" spans="1:19">
      <c r="A3" s="45">
        <v>45292</v>
      </c>
      <c r="B3" s="42" t="str">
        <f>TEXT(A3,"mmm-yy")</f>
        <v>Jan-24</v>
      </c>
      <c r="C3" s="48">
        <f>MONTH(A3)</f>
        <v>1</v>
      </c>
      <c r="D3" s="79">
        <f>_xlfn.XLOOKUP(A3,Monthly_Summary!A:A,Monthly_Summary!D:D)</f>
        <v>4187</v>
      </c>
      <c r="E3" s="79">
        <f>_xlfn.XLOOKUP(A3,tblBudget[Month],tblBudget[Budget_Total_Revenue])</f>
        <v>4200</v>
      </c>
      <c r="F3" s="83">
        <f>D3-E3</f>
        <v>-13</v>
      </c>
      <c r="G3" s="76">
        <f>F3/E3</f>
        <v>-3.0952380952380953E-3</v>
      </c>
      <c r="H3" s="81">
        <f>_xlfn.XLOOKUP(A3,Monthly_Summary!A:A,Monthly_Summary!E:E)</f>
        <v>37850</v>
      </c>
      <c r="I3" s="81">
        <f>_xlfn.XLOOKUP(A3,tblBudget[Month],tblBudget[Budget_Operating_Expenses])</f>
        <v>36000</v>
      </c>
      <c r="J3" s="88">
        <f>H3-I3</f>
        <v>1850</v>
      </c>
      <c r="K3" s="90">
        <f>J3/I3</f>
        <v>5.1388888888888887E-2</v>
      </c>
      <c r="L3" s="81">
        <f>_xlfn.XLOOKUP(A3,Monthly_Summary!A:A,Monthly_Summary!I:I)</f>
        <v>-34960.97</v>
      </c>
      <c r="M3" s="81">
        <f>_xlfn.XLOOKUP(A3,tblBudget[Month],tblBudget[Budget_EBITDA])</f>
        <v>-33100</v>
      </c>
      <c r="N3" s="86">
        <f>L3-M3</f>
        <v>-1860.9700000000012</v>
      </c>
      <c r="O3" s="77">
        <f>N3/ABS(M3)</f>
        <v>-5.6222658610271939E-2</v>
      </c>
    </row>
    <row r="4" spans="1:19">
      <c r="A4" s="45">
        <v>45323</v>
      </c>
      <c r="B4" s="42" t="str">
        <f t="shared" ref="B4:B8" si="0">TEXT(A4,"mmm-yy")</f>
        <v>Feb-24</v>
      </c>
      <c r="C4" s="48">
        <f t="shared" ref="C4:C8" si="1">MONTH(A4)</f>
        <v>2</v>
      </c>
      <c r="D4" s="79">
        <f>_xlfn.XLOOKUP(A4,Monthly_Summary!A:A,Monthly_Summary!D:D)</f>
        <v>3052</v>
      </c>
      <c r="E4" s="79">
        <f>_xlfn.XLOOKUP(A4,tblBudget[Month],tblBudget[Budget_Total_Revenue])</f>
        <v>3100</v>
      </c>
      <c r="F4" s="83">
        <f t="shared" ref="F4:F8" si="2">D4-E4</f>
        <v>-48</v>
      </c>
      <c r="G4" s="76">
        <f t="shared" ref="G4:G8" si="3">F4/E4</f>
        <v>-1.5483870967741935E-2</v>
      </c>
      <c r="H4" s="81">
        <f>_xlfn.XLOOKUP(A4,Monthly_Summary!A:A,Monthly_Summary!E:E)</f>
        <v>38000</v>
      </c>
      <c r="I4" s="81">
        <f>_xlfn.XLOOKUP(A4,tblBudget[Month],tblBudget[Budget_Operating_Expenses])</f>
        <v>36700</v>
      </c>
      <c r="J4" s="88">
        <f t="shared" ref="J4:J8" si="4">H4-I4</f>
        <v>1300</v>
      </c>
      <c r="K4" s="90">
        <f t="shared" ref="K4:K8" si="5">J4/I4</f>
        <v>3.5422343324250684E-2</v>
      </c>
      <c r="L4" s="81">
        <f>_xlfn.XLOOKUP(A4,Monthly_Summary!A:A,Monthly_Summary!I:I)</f>
        <v>-35924.639999999999</v>
      </c>
      <c r="M4" s="81">
        <f>_xlfn.XLOOKUP(A4,tblBudget[Month],tblBudget[Budget_EBITDA])</f>
        <v>-34950</v>
      </c>
      <c r="N4" s="86">
        <f t="shared" ref="N4:N8" si="6">L4-M4</f>
        <v>-974.63999999999942</v>
      </c>
      <c r="O4" s="77">
        <f t="shared" ref="O4:O8" si="7">N4/ABS(M4)</f>
        <v>-2.788669527896994E-2</v>
      </c>
    </row>
    <row r="5" spans="1:19">
      <c r="A5" s="45">
        <v>45352</v>
      </c>
      <c r="B5" s="42" t="str">
        <f t="shared" si="0"/>
        <v>Mar-24</v>
      </c>
      <c r="C5" s="48">
        <f t="shared" si="1"/>
        <v>3</v>
      </c>
      <c r="D5" s="79">
        <f>_xlfn.XLOOKUP(A5,Monthly_Summary!A:A,Monthly_Summary!D:D)</f>
        <v>4358</v>
      </c>
      <c r="E5" s="79">
        <f>_xlfn.XLOOKUP(A5,tblBudget[Month],tblBudget[Budget_Total_Revenue])</f>
        <v>4250</v>
      </c>
      <c r="F5" s="84">
        <f t="shared" si="2"/>
        <v>108</v>
      </c>
      <c r="G5" s="73">
        <f t="shared" si="3"/>
        <v>2.5411764705882352E-2</v>
      </c>
      <c r="H5" s="81">
        <f>_xlfn.XLOOKUP(A5,Monthly_Summary!A:A,Monthly_Summary!E:E)</f>
        <v>39250</v>
      </c>
      <c r="I5" s="81">
        <f>_xlfn.XLOOKUP(A5,tblBudget[Month],tblBudget[Budget_Operating_Expenses])</f>
        <v>38300</v>
      </c>
      <c r="J5" s="88">
        <f t="shared" si="4"/>
        <v>950</v>
      </c>
      <c r="K5" s="90">
        <f t="shared" si="5"/>
        <v>2.4804177545691905E-2</v>
      </c>
      <c r="L5" s="81">
        <f>_xlfn.XLOOKUP(A5,Monthly_Summary!A:A,Monthly_Summary!I:I)</f>
        <v>-36373.72</v>
      </c>
      <c r="M5" s="81">
        <f>_xlfn.XLOOKUP(A5,tblBudget[Month],tblBudget[Budget_EBITDA])</f>
        <v>-35550</v>
      </c>
      <c r="N5" s="86">
        <f t="shared" si="6"/>
        <v>-823.72000000000116</v>
      </c>
      <c r="O5" s="77">
        <f t="shared" si="7"/>
        <v>-2.3170745428973311E-2</v>
      </c>
    </row>
    <row r="6" spans="1:19">
      <c r="A6" s="45">
        <v>45383</v>
      </c>
      <c r="B6" s="42" t="str">
        <f t="shared" si="0"/>
        <v>Apr-24</v>
      </c>
      <c r="C6" s="48">
        <f t="shared" si="1"/>
        <v>4</v>
      </c>
      <c r="D6" s="79">
        <f>_xlfn.XLOOKUP(A6,Monthly_Summary!A:A,Monthly_Summary!D:D)</f>
        <v>6583</v>
      </c>
      <c r="E6" s="79">
        <f>_xlfn.XLOOKUP(A6,tblBudget[Month],tblBudget[Budget_Total_Revenue])</f>
        <v>5400</v>
      </c>
      <c r="F6" s="84">
        <f t="shared" si="2"/>
        <v>1183</v>
      </c>
      <c r="G6" s="73">
        <f t="shared" si="3"/>
        <v>0.21907407407407409</v>
      </c>
      <c r="H6" s="81">
        <f>_xlfn.XLOOKUP(A6,Monthly_Summary!A:A,Monthly_Summary!E:E)</f>
        <v>41550</v>
      </c>
      <c r="I6" s="81">
        <f>_xlfn.XLOOKUP(A6,tblBudget[Month],tblBudget[Budget_Operating_Expenses])</f>
        <v>40200</v>
      </c>
      <c r="J6" s="88">
        <f t="shared" si="4"/>
        <v>1350</v>
      </c>
      <c r="K6" s="90">
        <f t="shared" si="5"/>
        <v>3.3582089552238806E-2</v>
      </c>
      <c r="L6" s="81">
        <f>_xlfn.XLOOKUP(A6,Monthly_Summary!A:A,Monthly_Summary!I:I)</f>
        <v>-37271.050000000003</v>
      </c>
      <c r="M6" s="81">
        <f>_xlfn.XLOOKUP(A6,tblBudget[Month],tblBudget[Budget_EBITDA])</f>
        <v>-36550</v>
      </c>
      <c r="N6" s="86">
        <f t="shared" si="6"/>
        <v>-721.05000000000291</v>
      </c>
      <c r="O6" s="77">
        <f t="shared" si="7"/>
        <v>-1.9727770177838656E-2</v>
      </c>
    </row>
    <row r="7" spans="1:19">
      <c r="A7" s="45">
        <v>45413</v>
      </c>
      <c r="B7" s="42" t="str">
        <f t="shared" si="0"/>
        <v>May-24</v>
      </c>
      <c r="C7" s="48">
        <f t="shared" si="1"/>
        <v>5</v>
      </c>
      <c r="D7" s="79">
        <f>_xlfn.XLOOKUP(A7,Monthly_Summary!A:A,Monthly_Summary!D:D)</f>
        <v>7280</v>
      </c>
      <c r="E7" s="79">
        <f>_xlfn.XLOOKUP(A7,tblBudget[Month],tblBudget[Budget_Total_Revenue])</f>
        <v>5950</v>
      </c>
      <c r="F7" s="84">
        <f t="shared" si="2"/>
        <v>1330</v>
      </c>
      <c r="G7" s="73">
        <f t="shared" si="3"/>
        <v>0.22352941176470589</v>
      </c>
      <c r="H7" s="81">
        <f>_xlfn.XLOOKUP(A7,Monthly_Summary!A:A,Monthly_Summary!E:E)</f>
        <v>44600</v>
      </c>
      <c r="I7" s="81">
        <f>_xlfn.XLOOKUP(A7,tblBudget[Month],tblBudget[Budget_Operating_Expenses])</f>
        <v>41500</v>
      </c>
      <c r="J7" s="88">
        <f t="shared" si="4"/>
        <v>3100</v>
      </c>
      <c r="K7" s="90">
        <f t="shared" si="5"/>
        <v>7.4698795180722893E-2</v>
      </c>
      <c r="L7" s="81">
        <f>_xlfn.XLOOKUP(A7,Monthly_Summary!A:A,Monthly_Summary!I:I)</f>
        <v>-39940.800000000003</v>
      </c>
      <c r="M7" s="81">
        <f>_xlfn.XLOOKUP(A7,tblBudget[Month],tblBudget[Budget_EBITDA])</f>
        <v>-37500</v>
      </c>
      <c r="N7" s="86">
        <f t="shared" si="6"/>
        <v>-2440.8000000000029</v>
      </c>
      <c r="O7" s="77">
        <f t="shared" si="7"/>
        <v>-6.5088000000000076E-2</v>
      </c>
    </row>
    <row r="8" spans="1:19" ht="15" thickBot="1">
      <c r="A8" s="46">
        <v>45444</v>
      </c>
      <c r="B8" s="42" t="str">
        <f t="shared" si="0"/>
        <v>Jun-24</v>
      </c>
      <c r="C8" s="48">
        <f t="shared" si="1"/>
        <v>6</v>
      </c>
      <c r="D8" s="79">
        <f>_xlfn.XLOOKUP(A8,Monthly_Summary!A:A,Monthly_Summary!D:D)</f>
        <v>9531</v>
      </c>
      <c r="E8" s="79">
        <f>_xlfn.XLOOKUP(A8,tblBudget[Month],tblBudget[Budget_Total_Revenue])</f>
        <v>7000</v>
      </c>
      <c r="F8" s="84">
        <f t="shared" si="2"/>
        <v>2531</v>
      </c>
      <c r="G8" s="73">
        <f t="shared" si="3"/>
        <v>0.3615714285714286</v>
      </c>
      <c r="H8" s="81">
        <f>_xlfn.XLOOKUP(A8,Monthly_Summary!A:A,Monthly_Summary!E:E)</f>
        <v>43750</v>
      </c>
      <c r="I8" s="81">
        <f>_xlfn.XLOOKUP(A8,tblBudget[Month],tblBudget[Budget_Operating_Expenses])</f>
        <v>42100</v>
      </c>
      <c r="J8" s="88">
        <f t="shared" si="4"/>
        <v>1650</v>
      </c>
      <c r="K8" s="90">
        <f t="shared" si="5"/>
        <v>3.9192399049881234E-2</v>
      </c>
      <c r="L8" s="81">
        <f>_xlfn.XLOOKUP(A8,Monthly_Summary!A:A,Monthly_Summary!I:I)</f>
        <v>-37745.47</v>
      </c>
      <c r="M8" s="81">
        <f>_xlfn.XLOOKUP(A8,tblBudget[Month],tblBudget[Budget_EBITDA])</f>
        <v>-37300</v>
      </c>
      <c r="N8" s="86">
        <f t="shared" si="6"/>
        <v>-445.47000000000116</v>
      </c>
      <c r="O8" s="77">
        <f t="shared" si="7"/>
        <v>-1.1942895442359281E-2</v>
      </c>
    </row>
    <row r="9" spans="1:19" ht="15" thickBot="1">
      <c r="B9" s="74" t="s">
        <v>144</v>
      </c>
      <c r="C9" s="41"/>
      <c r="D9" s="80">
        <f>SUM(D3:D8)</f>
        <v>34991</v>
      </c>
      <c r="E9" s="80">
        <f t="shared" ref="E9:O9" si="8">SUM(E3:E8)</f>
        <v>29900</v>
      </c>
      <c r="F9" s="85">
        <f t="shared" si="8"/>
        <v>5091</v>
      </c>
      <c r="G9" s="75">
        <f>F9/E9</f>
        <v>0.17026755852842809</v>
      </c>
      <c r="H9" s="82">
        <f t="shared" si="8"/>
        <v>245000</v>
      </c>
      <c r="I9" s="82">
        <f t="shared" si="8"/>
        <v>234800</v>
      </c>
      <c r="J9" s="89">
        <f t="shared" si="8"/>
        <v>10200</v>
      </c>
      <c r="K9" s="91">
        <f>J9/I9</f>
        <v>4.3441226575809198E-2</v>
      </c>
      <c r="L9" s="82">
        <f t="shared" si="8"/>
        <v>-222216.65</v>
      </c>
      <c r="M9" s="82">
        <f t="shared" si="8"/>
        <v>-214950</v>
      </c>
      <c r="N9" s="87">
        <f t="shared" si="8"/>
        <v>-7266.6500000000087</v>
      </c>
      <c r="O9" s="78">
        <f>N9/ABS(M9)</f>
        <v>-3.3806234007908859E-2</v>
      </c>
    </row>
    <row r="15" spans="1:19">
      <c r="S15" s="72"/>
    </row>
  </sheetData>
  <mergeCells count="1">
    <mergeCell ref="B1:O1"/>
  </mergeCells>
  <pageMargins left="0.7" right="0.7" top="0.75" bottom="0.75" header="0.3" footer="0.3"/>
  <ignoredErrors>
    <ignoredError sqref="G9 K9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2:J22"/>
  <sheetViews>
    <sheetView workbookViewId="0"/>
  </sheetViews>
  <sheetFormatPr defaultRowHeight="14.4"/>
  <sheetData>
    <row r="2" spans="4:10">
      <c r="D2" s="52" t="s">
        <v>0</v>
      </c>
      <c r="E2" s="52"/>
      <c r="F2" s="52"/>
      <c r="G2" s="52"/>
      <c r="H2" s="52"/>
      <c r="I2" s="52"/>
      <c r="J2" s="52"/>
    </row>
    <row r="3" spans="4:10">
      <c r="D3" s="52"/>
      <c r="E3" s="52"/>
      <c r="F3" s="52"/>
      <c r="G3" s="52"/>
      <c r="H3" s="52"/>
      <c r="I3" s="52"/>
      <c r="J3" s="52"/>
    </row>
    <row r="4" spans="4:10">
      <c r="D4" s="52"/>
      <c r="E4" s="52"/>
      <c r="F4" s="52"/>
      <c r="G4" s="52"/>
      <c r="H4" s="52"/>
      <c r="I4" s="52"/>
      <c r="J4" s="52"/>
    </row>
    <row r="5" spans="4:10">
      <c r="D5" s="52"/>
      <c r="E5" s="52"/>
      <c r="F5" s="52"/>
      <c r="G5" s="52"/>
      <c r="H5" s="52"/>
      <c r="I5" s="52"/>
      <c r="J5" s="52"/>
    </row>
    <row r="6" spans="4:10">
      <c r="D6" s="52"/>
      <c r="E6" s="52"/>
      <c r="F6" s="52"/>
      <c r="G6" s="52"/>
      <c r="H6" s="52"/>
      <c r="I6" s="52"/>
      <c r="J6" s="52"/>
    </row>
    <row r="7" spans="4:10">
      <c r="D7" s="52"/>
      <c r="E7" s="52"/>
      <c r="F7" s="52"/>
      <c r="G7" s="52"/>
      <c r="H7" s="52"/>
      <c r="I7" s="52"/>
      <c r="J7" s="52"/>
    </row>
    <row r="8" spans="4:10">
      <c r="D8" s="52"/>
      <c r="E8" s="52"/>
      <c r="F8" s="52"/>
      <c r="G8" s="52"/>
      <c r="H8" s="52"/>
      <c r="I8" s="52"/>
      <c r="J8" s="52"/>
    </row>
    <row r="9" spans="4:10">
      <c r="D9" s="52"/>
      <c r="E9" s="52"/>
      <c r="F9" s="52"/>
      <c r="G9" s="52"/>
      <c r="H9" s="52"/>
      <c r="I9" s="52"/>
      <c r="J9" s="52"/>
    </row>
    <row r="10" spans="4:10">
      <c r="D10" s="52"/>
      <c r="E10" s="52"/>
      <c r="F10" s="52"/>
      <c r="G10" s="52"/>
      <c r="H10" s="52"/>
      <c r="I10" s="52"/>
      <c r="J10" s="52"/>
    </row>
    <row r="11" spans="4:10">
      <c r="D11" s="52"/>
      <c r="E11" s="52"/>
      <c r="F11" s="52"/>
      <c r="G11" s="52"/>
      <c r="H11" s="52"/>
      <c r="I11" s="52"/>
      <c r="J11" s="52"/>
    </row>
    <row r="12" spans="4:10">
      <c r="D12" s="52"/>
      <c r="E12" s="52"/>
      <c r="F12" s="52"/>
      <c r="G12" s="52"/>
      <c r="H12" s="52"/>
      <c r="I12" s="52"/>
      <c r="J12" s="52"/>
    </row>
    <row r="13" spans="4:10">
      <c r="D13" s="52"/>
      <c r="E13" s="52"/>
      <c r="F13" s="52"/>
      <c r="G13" s="52"/>
      <c r="H13" s="52"/>
      <c r="I13" s="52"/>
      <c r="J13" s="52"/>
    </row>
    <row r="14" spans="4:10">
      <c r="D14" s="52"/>
      <c r="E14" s="52"/>
      <c r="F14" s="52"/>
      <c r="G14" s="52"/>
      <c r="H14" s="52"/>
      <c r="I14" s="52"/>
      <c r="J14" s="52"/>
    </row>
    <row r="15" spans="4:10">
      <c r="D15" s="52"/>
      <c r="E15" s="52"/>
      <c r="F15" s="52"/>
      <c r="G15" s="52"/>
      <c r="H15" s="52"/>
      <c r="I15" s="52"/>
      <c r="J15" s="52"/>
    </row>
    <row r="16" spans="4:10">
      <c r="D16" s="52"/>
      <c r="E16" s="52"/>
      <c r="F16" s="52"/>
      <c r="G16" s="52"/>
      <c r="H16" s="52"/>
      <c r="I16" s="52"/>
      <c r="J16" s="52"/>
    </row>
    <row r="17" spans="4:10">
      <c r="D17" s="52"/>
      <c r="E17" s="52"/>
      <c r="F17" s="52"/>
      <c r="G17" s="52"/>
      <c r="H17" s="52"/>
      <c r="I17" s="52"/>
      <c r="J17" s="52"/>
    </row>
    <row r="18" spans="4:10">
      <c r="D18" s="52"/>
      <c r="E18" s="52"/>
      <c r="F18" s="52"/>
      <c r="G18" s="52"/>
      <c r="H18" s="52"/>
      <c r="I18" s="52"/>
      <c r="J18" s="52"/>
    </row>
    <row r="19" spans="4:10">
      <c r="D19" s="52"/>
      <c r="E19" s="52"/>
      <c r="F19" s="52"/>
      <c r="G19" s="52"/>
      <c r="H19" s="52"/>
      <c r="I19" s="52"/>
      <c r="J19" s="52"/>
    </row>
    <row r="20" spans="4:10">
      <c r="D20" s="52"/>
      <c r="E20" s="52"/>
      <c r="F20" s="52"/>
      <c r="G20" s="52"/>
      <c r="H20" s="52"/>
      <c r="I20" s="52"/>
      <c r="J20" s="52"/>
    </row>
    <row r="21" spans="4:10">
      <c r="D21" s="52"/>
      <c r="E21" s="52"/>
      <c r="F21" s="52"/>
      <c r="G21" s="52"/>
      <c r="H21" s="52"/>
      <c r="I21" s="52"/>
      <c r="J21" s="52"/>
    </row>
    <row r="22" spans="4:10">
      <c r="D22" s="52"/>
      <c r="E22" s="52"/>
      <c r="F22" s="52"/>
      <c r="G22" s="52"/>
      <c r="H22" s="52"/>
      <c r="I22" s="52"/>
      <c r="J22" s="52"/>
    </row>
  </sheetData>
  <mergeCells count="1">
    <mergeCell ref="D2:J2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3"/>
  <sheetViews>
    <sheetView workbookViewId="0"/>
  </sheetViews>
  <sheetFormatPr defaultRowHeight="14.4"/>
  <cols>
    <col min="1" max="1" width="8.21875" customWidth="1"/>
    <col min="2" max="2" width="13.44140625" customWidth="1"/>
    <col min="3" max="3" width="15.88671875" customWidth="1"/>
    <col min="4" max="4" width="13.33203125" customWidth="1"/>
    <col min="5" max="5" width="21.33203125" customWidth="1"/>
    <col min="6" max="6" width="19.6640625" customWidth="1"/>
    <col min="7" max="7" width="24.109375" customWidth="1"/>
    <col min="8" max="8" width="26.77734375" customWidth="1"/>
    <col min="9" max="9" width="19.33203125" customWidth="1"/>
    <col min="10" max="10" width="14.77734375" customWidth="1"/>
  </cols>
  <sheetData>
    <row r="1" spans="1:10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</row>
    <row r="2" spans="1:10">
      <c r="A2" s="43">
        <v>45292</v>
      </c>
      <c r="B2" s="1" t="str">
        <f t="shared" ref="B2:B23" si="0">TEXT(A2,"mmm-yy")</f>
        <v>Jan-24</v>
      </c>
      <c r="C2" s="47">
        <f t="shared" ref="C2:C23" si="1">MONTH(A2)</f>
        <v>1</v>
      </c>
      <c r="D2" t="s">
        <v>11</v>
      </c>
      <c r="E2">
        <v>299</v>
      </c>
      <c r="F2">
        <v>45000</v>
      </c>
      <c r="G2">
        <v>585</v>
      </c>
      <c r="H2">
        <v>0</v>
      </c>
      <c r="I2">
        <v>500</v>
      </c>
      <c r="J2">
        <v>1384</v>
      </c>
    </row>
    <row r="3" spans="1:10">
      <c r="A3" s="43">
        <v>45323</v>
      </c>
      <c r="B3" s="1" t="str">
        <f t="shared" si="0"/>
        <v>Feb-24</v>
      </c>
      <c r="C3" s="47">
        <f t="shared" si="1"/>
        <v>2</v>
      </c>
      <c r="D3" t="s">
        <v>11</v>
      </c>
      <c r="E3">
        <v>299</v>
      </c>
      <c r="F3">
        <v>47000</v>
      </c>
      <c r="G3">
        <v>611</v>
      </c>
      <c r="H3">
        <v>0</v>
      </c>
      <c r="I3">
        <v>0</v>
      </c>
      <c r="J3">
        <v>910</v>
      </c>
    </row>
    <row r="4" spans="1:10">
      <c r="A4" s="43">
        <v>45352</v>
      </c>
      <c r="B4" s="1" t="str">
        <f t="shared" si="0"/>
        <v>Mar-24</v>
      </c>
      <c r="C4" s="47">
        <f t="shared" si="1"/>
        <v>3</v>
      </c>
      <c r="D4" t="s">
        <v>11</v>
      </c>
      <c r="E4">
        <v>299</v>
      </c>
      <c r="F4">
        <v>51000</v>
      </c>
      <c r="G4">
        <v>663</v>
      </c>
      <c r="H4">
        <v>0</v>
      </c>
      <c r="I4">
        <v>0</v>
      </c>
      <c r="J4">
        <v>962</v>
      </c>
    </row>
    <row r="5" spans="1:10">
      <c r="A5" s="43">
        <v>45383</v>
      </c>
      <c r="B5" s="1" t="str">
        <f t="shared" si="0"/>
        <v>Apr-24</v>
      </c>
      <c r="C5" s="47">
        <f t="shared" si="1"/>
        <v>4</v>
      </c>
      <c r="D5" t="s">
        <v>11</v>
      </c>
      <c r="E5">
        <v>299</v>
      </c>
      <c r="F5">
        <v>53000</v>
      </c>
      <c r="G5">
        <v>689</v>
      </c>
      <c r="H5">
        <v>0</v>
      </c>
      <c r="I5">
        <v>0</v>
      </c>
      <c r="J5">
        <v>988</v>
      </c>
    </row>
    <row r="6" spans="1:10">
      <c r="A6" s="43">
        <v>45413</v>
      </c>
      <c r="B6" s="1" t="str">
        <f t="shared" si="0"/>
        <v>May-24</v>
      </c>
      <c r="C6" s="47">
        <f t="shared" si="1"/>
        <v>5</v>
      </c>
      <c r="D6" t="s">
        <v>11</v>
      </c>
      <c r="E6">
        <v>299</v>
      </c>
      <c r="F6">
        <v>56000</v>
      </c>
      <c r="G6">
        <v>728</v>
      </c>
      <c r="H6">
        <v>0</v>
      </c>
      <c r="I6">
        <v>0</v>
      </c>
      <c r="J6">
        <v>1027</v>
      </c>
    </row>
    <row r="7" spans="1:10">
      <c r="A7" s="43">
        <v>45444</v>
      </c>
      <c r="B7" s="1" t="str">
        <f t="shared" si="0"/>
        <v>Jun-24</v>
      </c>
      <c r="C7" s="47">
        <f t="shared" si="1"/>
        <v>6</v>
      </c>
      <c r="D7" t="s">
        <v>11</v>
      </c>
      <c r="E7">
        <v>299</v>
      </c>
      <c r="F7">
        <v>59000</v>
      </c>
      <c r="G7">
        <v>767</v>
      </c>
      <c r="H7">
        <v>0</v>
      </c>
      <c r="I7">
        <v>0</v>
      </c>
      <c r="J7">
        <v>1066</v>
      </c>
    </row>
    <row r="8" spans="1:10">
      <c r="A8" s="43">
        <v>45292</v>
      </c>
      <c r="B8" s="1" t="str">
        <f t="shared" si="0"/>
        <v>Jan-24</v>
      </c>
      <c r="C8" s="47">
        <f t="shared" si="1"/>
        <v>1</v>
      </c>
      <c r="D8" t="s">
        <v>12</v>
      </c>
      <c r="E8">
        <v>799</v>
      </c>
      <c r="F8">
        <v>85000</v>
      </c>
      <c r="G8">
        <v>1105</v>
      </c>
      <c r="H8">
        <v>199</v>
      </c>
      <c r="I8">
        <v>700</v>
      </c>
      <c r="J8">
        <v>2803</v>
      </c>
    </row>
    <row r="9" spans="1:10">
      <c r="A9" s="43">
        <v>45323</v>
      </c>
      <c r="B9" s="1" t="str">
        <f t="shared" si="0"/>
        <v>Feb-24</v>
      </c>
      <c r="C9" s="47">
        <f t="shared" si="1"/>
        <v>2</v>
      </c>
      <c r="D9" t="s">
        <v>12</v>
      </c>
      <c r="E9">
        <v>799</v>
      </c>
      <c r="F9">
        <v>88000</v>
      </c>
      <c r="G9">
        <v>1144</v>
      </c>
      <c r="H9">
        <v>199</v>
      </c>
      <c r="I9">
        <v>0</v>
      </c>
      <c r="J9">
        <v>2142</v>
      </c>
    </row>
    <row r="10" spans="1:10">
      <c r="A10" s="43">
        <v>45352</v>
      </c>
      <c r="B10" s="1" t="str">
        <f t="shared" si="0"/>
        <v>Mar-24</v>
      </c>
      <c r="C10" s="47">
        <f t="shared" si="1"/>
        <v>3</v>
      </c>
      <c r="D10" t="s">
        <v>12</v>
      </c>
      <c r="E10">
        <v>799</v>
      </c>
      <c r="F10">
        <v>91000</v>
      </c>
      <c r="G10">
        <v>1183</v>
      </c>
      <c r="H10">
        <v>199</v>
      </c>
      <c r="I10">
        <v>0</v>
      </c>
      <c r="J10">
        <v>2181</v>
      </c>
    </row>
    <row r="11" spans="1:10">
      <c r="A11" s="43">
        <v>45383</v>
      </c>
      <c r="B11" s="1" t="str">
        <f t="shared" si="0"/>
        <v>Apr-24</v>
      </c>
      <c r="C11" s="47">
        <f t="shared" si="1"/>
        <v>4</v>
      </c>
      <c r="D11" t="s">
        <v>12</v>
      </c>
      <c r="E11">
        <v>799</v>
      </c>
      <c r="F11">
        <v>94000</v>
      </c>
      <c r="G11">
        <v>1222</v>
      </c>
      <c r="H11">
        <v>199</v>
      </c>
      <c r="I11">
        <v>0</v>
      </c>
      <c r="J11">
        <v>2220</v>
      </c>
    </row>
    <row r="12" spans="1:10">
      <c r="A12" s="43">
        <v>45413</v>
      </c>
      <c r="B12" s="1" t="str">
        <f t="shared" si="0"/>
        <v>May-24</v>
      </c>
      <c r="C12" s="47">
        <f t="shared" si="1"/>
        <v>5</v>
      </c>
      <c r="D12" t="s">
        <v>12</v>
      </c>
      <c r="E12">
        <v>799</v>
      </c>
      <c r="F12">
        <v>97000</v>
      </c>
      <c r="G12">
        <v>1261</v>
      </c>
      <c r="H12">
        <v>199</v>
      </c>
      <c r="I12">
        <v>0</v>
      </c>
      <c r="J12">
        <v>2259</v>
      </c>
    </row>
    <row r="13" spans="1:10">
      <c r="A13" s="43">
        <v>45444</v>
      </c>
      <c r="B13" s="1" t="str">
        <f t="shared" si="0"/>
        <v>Jun-24</v>
      </c>
      <c r="C13" s="47">
        <f t="shared" si="1"/>
        <v>6</v>
      </c>
      <c r="D13" t="s">
        <v>12</v>
      </c>
      <c r="E13">
        <v>799</v>
      </c>
      <c r="F13">
        <v>102000</v>
      </c>
      <c r="G13">
        <v>1326</v>
      </c>
      <c r="H13">
        <v>199</v>
      </c>
      <c r="I13">
        <v>0</v>
      </c>
      <c r="J13">
        <v>2324</v>
      </c>
    </row>
    <row r="14" spans="1:10">
      <c r="A14" s="43">
        <v>45352</v>
      </c>
      <c r="B14" s="1" t="str">
        <f t="shared" si="0"/>
        <v>Mar-24</v>
      </c>
      <c r="C14" s="47">
        <f t="shared" si="1"/>
        <v>3</v>
      </c>
      <c r="D14" t="s">
        <v>13</v>
      </c>
      <c r="E14">
        <v>299</v>
      </c>
      <c r="F14">
        <v>32000</v>
      </c>
      <c r="G14">
        <v>416</v>
      </c>
      <c r="H14">
        <v>0</v>
      </c>
      <c r="I14">
        <v>500</v>
      </c>
      <c r="J14">
        <v>1215</v>
      </c>
    </row>
    <row r="15" spans="1:10">
      <c r="A15" s="43">
        <v>45383</v>
      </c>
      <c r="B15" s="1" t="str">
        <f t="shared" si="0"/>
        <v>Apr-24</v>
      </c>
      <c r="C15" s="47">
        <f t="shared" si="1"/>
        <v>4</v>
      </c>
      <c r="D15" t="s">
        <v>13</v>
      </c>
      <c r="E15">
        <v>299</v>
      </c>
      <c r="F15">
        <v>30000</v>
      </c>
      <c r="G15">
        <v>390</v>
      </c>
      <c r="H15">
        <v>0</v>
      </c>
      <c r="I15">
        <v>0</v>
      </c>
      <c r="J15">
        <v>689</v>
      </c>
    </row>
    <row r="16" spans="1:10">
      <c r="A16" s="43">
        <v>45413</v>
      </c>
      <c r="B16" s="1" t="str">
        <f t="shared" si="0"/>
        <v>May-24</v>
      </c>
      <c r="C16" s="47">
        <f t="shared" si="1"/>
        <v>5</v>
      </c>
      <c r="D16" t="s">
        <v>13</v>
      </c>
      <c r="E16">
        <v>299</v>
      </c>
      <c r="F16">
        <v>28000</v>
      </c>
      <c r="G16">
        <v>364</v>
      </c>
      <c r="H16">
        <v>0</v>
      </c>
      <c r="I16">
        <v>0</v>
      </c>
      <c r="J16">
        <v>663</v>
      </c>
    </row>
    <row r="17" spans="1:10">
      <c r="A17" s="43">
        <v>45444</v>
      </c>
      <c r="B17" s="1" t="str">
        <f t="shared" si="0"/>
        <v>Jun-24</v>
      </c>
      <c r="C17" s="47">
        <f t="shared" si="1"/>
        <v>6</v>
      </c>
      <c r="D17" t="s">
        <v>13</v>
      </c>
      <c r="E17">
        <v>299</v>
      </c>
      <c r="F17">
        <v>25000</v>
      </c>
      <c r="G17">
        <v>325</v>
      </c>
      <c r="H17">
        <v>0</v>
      </c>
      <c r="I17">
        <v>0</v>
      </c>
      <c r="J17">
        <v>624</v>
      </c>
    </row>
    <row r="18" spans="1:10">
      <c r="A18" s="43">
        <v>45383</v>
      </c>
      <c r="B18" s="1" t="str">
        <f t="shared" si="0"/>
        <v>Apr-24</v>
      </c>
      <c r="C18" s="47">
        <f t="shared" si="1"/>
        <v>4</v>
      </c>
      <c r="D18" t="s">
        <v>14</v>
      </c>
      <c r="E18">
        <v>799</v>
      </c>
      <c r="F18">
        <v>76000</v>
      </c>
      <c r="G18">
        <v>988</v>
      </c>
      <c r="H18">
        <v>199</v>
      </c>
      <c r="I18">
        <v>700</v>
      </c>
      <c r="J18">
        <v>2686</v>
      </c>
    </row>
    <row r="19" spans="1:10">
      <c r="A19" s="43">
        <v>45413</v>
      </c>
      <c r="B19" s="1" t="str">
        <f t="shared" si="0"/>
        <v>May-24</v>
      </c>
      <c r="C19" s="47">
        <f t="shared" si="1"/>
        <v>5</v>
      </c>
      <c r="D19" t="s">
        <v>14</v>
      </c>
      <c r="E19">
        <v>799</v>
      </c>
      <c r="F19">
        <v>80000</v>
      </c>
      <c r="G19">
        <v>1040</v>
      </c>
      <c r="H19">
        <v>199</v>
      </c>
      <c r="I19">
        <v>0</v>
      </c>
      <c r="J19">
        <v>2038</v>
      </c>
    </row>
    <row r="20" spans="1:10">
      <c r="A20" s="43">
        <v>45444</v>
      </c>
      <c r="B20" s="1" t="str">
        <f t="shared" si="0"/>
        <v>Jun-24</v>
      </c>
      <c r="C20" s="47">
        <f t="shared" si="1"/>
        <v>6</v>
      </c>
      <c r="D20" t="s">
        <v>14</v>
      </c>
      <c r="E20">
        <v>799</v>
      </c>
      <c r="F20">
        <v>84000</v>
      </c>
      <c r="G20">
        <v>1092</v>
      </c>
      <c r="H20">
        <v>199</v>
      </c>
      <c r="I20">
        <v>0</v>
      </c>
      <c r="J20">
        <v>2090</v>
      </c>
    </row>
    <row r="21" spans="1:10">
      <c r="A21" s="43">
        <v>45413</v>
      </c>
      <c r="B21" s="1" t="str">
        <f t="shared" si="0"/>
        <v>May-24</v>
      </c>
      <c r="C21" s="47">
        <f t="shared" si="1"/>
        <v>5</v>
      </c>
      <c r="D21" t="s">
        <v>15</v>
      </c>
      <c r="E21">
        <v>299</v>
      </c>
      <c r="F21">
        <v>38000</v>
      </c>
      <c r="G21">
        <v>494</v>
      </c>
      <c r="H21">
        <v>0</v>
      </c>
      <c r="I21">
        <v>500</v>
      </c>
      <c r="J21">
        <v>1293</v>
      </c>
    </row>
    <row r="22" spans="1:10">
      <c r="A22" s="43">
        <v>45444</v>
      </c>
      <c r="B22" s="1" t="str">
        <f t="shared" si="0"/>
        <v>Jun-24</v>
      </c>
      <c r="C22" s="47">
        <f t="shared" si="1"/>
        <v>6</v>
      </c>
      <c r="D22" t="s">
        <v>15</v>
      </c>
      <c r="E22">
        <v>299</v>
      </c>
      <c r="F22">
        <v>41000</v>
      </c>
      <c r="G22">
        <v>533</v>
      </c>
      <c r="H22">
        <v>0</v>
      </c>
      <c r="I22">
        <v>0</v>
      </c>
      <c r="J22">
        <v>832</v>
      </c>
    </row>
    <row r="23" spans="1:10">
      <c r="A23" s="43">
        <v>45444</v>
      </c>
      <c r="B23" s="1" t="str">
        <f t="shared" si="0"/>
        <v>Jun-24</v>
      </c>
      <c r="C23" s="47">
        <f t="shared" si="1"/>
        <v>6</v>
      </c>
      <c r="D23" t="s">
        <v>16</v>
      </c>
      <c r="E23">
        <v>799</v>
      </c>
      <c r="F23">
        <v>69000</v>
      </c>
      <c r="G23">
        <v>897</v>
      </c>
      <c r="H23">
        <v>199</v>
      </c>
      <c r="I23">
        <v>700</v>
      </c>
      <c r="J23">
        <v>2595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defaultRowHeight="14.4"/>
  <cols>
    <col min="1" max="1" width="14.21875" customWidth="1"/>
    <col min="2" max="2" width="17.33203125" customWidth="1"/>
  </cols>
  <sheetData>
    <row r="1" spans="1:2">
      <c r="A1" s="40" t="s">
        <v>4</v>
      </c>
      <c r="B1" s="40" t="s">
        <v>17</v>
      </c>
    </row>
    <row r="2" spans="1:2">
      <c r="A2" s="2" t="s">
        <v>11</v>
      </c>
      <c r="B2" s="2" t="s">
        <v>18</v>
      </c>
    </row>
    <row r="3" spans="1:2">
      <c r="A3" s="2" t="s">
        <v>12</v>
      </c>
      <c r="B3" s="2" t="s">
        <v>19</v>
      </c>
    </row>
    <row r="4" spans="1:2">
      <c r="A4" s="2" t="s">
        <v>13</v>
      </c>
      <c r="B4" s="2" t="s">
        <v>20</v>
      </c>
    </row>
    <row r="5" spans="1:2">
      <c r="A5" s="2" t="s">
        <v>14</v>
      </c>
      <c r="B5" s="2" t="s">
        <v>21</v>
      </c>
    </row>
    <row r="6" spans="1:2">
      <c r="A6" s="2" t="s">
        <v>15</v>
      </c>
      <c r="B6" s="2" t="s">
        <v>22</v>
      </c>
    </row>
    <row r="7" spans="1:2">
      <c r="A7" s="2" t="s">
        <v>16</v>
      </c>
      <c r="B7" s="2" t="s">
        <v>23</v>
      </c>
    </row>
    <row r="8" spans="1:2">
      <c r="A8" s="2"/>
      <c r="B8" s="2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"/>
  <sheetViews>
    <sheetView workbookViewId="0"/>
  </sheetViews>
  <sheetFormatPr defaultRowHeight="14.4"/>
  <cols>
    <col min="1" max="1" width="13.109375" customWidth="1"/>
    <col min="2" max="2" width="13.44140625" customWidth="1"/>
    <col min="3" max="3" width="15.88671875" customWidth="1"/>
    <col min="4" max="4" width="12.6640625" customWidth="1"/>
  </cols>
  <sheetData>
    <row r="1" spans="1:4">
      <c r="A1" t="s">
        <v>24</v>
      </c>
      <c r="B1" t="s">
        <v>2</v>
      </c>
      <c r="C1" t="s">
        <v>3</v>
      </c>
      <c r="D1" t="s">
        <v>25</v>
      </c>
    </row>
    <row r="2" spans="1:4">
      <c r="A2" s="43">
        <f>DATE(2024,1,1)</f>
        <v>45292</v>
      </c>
      <c r="B2" s="4" t="str">
        <f>TEXT(A2,"mmm-yy")</f>
        <v>Jan-24</v>
      </c>
      <c r="C2" s="49">
        <f>MONTH(A2)</f>
        <v>1</v>
      </c>
      <c r="D2" s="49">
        <f>YEAR(A2)*100+MONTH(A2)</f>
        <v>202401</v>
      </c>
    </row>
    <row r="3" spans="1:4">
      <c r="A3" s="44">
        <f>EDATE(A2,1)</f>
        <v>45323</v>
      </c>
      <c r="B3" s="4" t="str">
        <f t="shared" ref="B3:B7" si="0">TEXT(A3,"mmm-yy")</f>
        <v>Feb-24</v>
      </c>
      <c r="C3" s="49">
        <f t="shared" ref="C3:C7" si="1">MONTH(A3)</f>
        <v>2</v>
      </c>
      <c r="D3" s="49">
        <f t="shared" ref="D3:D7" si="2">YEAR(A3)*100+MONTH(A3)</f>
        <v>202402</v>
      </c>
    </row>
    <row r="4" spans="1:4">
      <c r="A4" s="44">
        <f t="shared" ref="A4:A7" si="3">EDATE(A3,1)</f>
        <v>45352</v>
      </c>
      <c r="B4" s="4" t="str">
        <f t="shared" si="0"/>
        <v>Mar-24</v>
      </c>
      <c r="C4" s="49">
        <f t="shared" si="1"/>
        <v>3</v>
      </c>
      <c r="D4" s="49">
        <f t="shared" si="2"/>
        <v>202403</v>
      </c>
    </row>
    <row r="5" spans="1:4">
      <c r="A5" s="44">
        <f t="shared" si="3"/>
        <v>45383</v>
      </c>
      <c r="B5" s="4" t="str">
        <f t="shared" si="0"/>
        <v>Apr-24</v>
      </c>
      <c r="C5" s="49">
        <f t="shared" si="1"/>
        <v>4</v>
      </c>
      <c r="D5" s="49">
        <f t="shared" si="2"/>
        <v>202404</v>
      </c>
    </row>
    <row r="6" spans="1:4">
      <c r="A6" s="44">
        <f t="shared" si="3"/>
        <v>45413</v>
      </c>
      <c r="B6" s="4" t="str">
        <f t="shared" si="0"/>
        <v>May-24</v>
      </c>
      <c r="C6" s="49">
        <f t="shared" si="1"/>
        <v>5</v>
      </c>
      <c r="D6" s="49">
        <f t="shared" si="2"/>
        <v>202405</v>
      </c>
    </row>
    <row r="7" spans="1:4">
      <c r="A7" s="44">
        <f t="shared" si="3"/>
        <v>45444</v>
      </c>
      <c r="B7" s="4" t="str">
        <f t="shared" si="0"/>
        <v>Jun-24</v>
      </c>
      <c r="C7" s="49">
        <f t="shared" si="1"/>
        <v>6</v>
      </c>
      <c r="D7" s="49">
        <f t="shared" si="2"/>
        <v>202406</v>
      </c>
    </row>
    <row r="8" spans="1:4">
      <c r="A8" s="1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7"/>
  <sheetViews>
    <sheetView workbookViewId="0"/>
  </sheetViews>
  <sheetFormatPr defaultRowHeight="14.4"/>
  <cols>
    <col min="1" max="1" width="8.21875" customWidth="1"/>
    <col min="2" max="2" width="13.44140625" customWidth="1"/>
    <col min="3" max="3" width="15.88671875" customWidth="1"/>
    <col min="4" max="4" width="14.5546875" customWidth="1"/>
    <col min="5" max="5" width="17.88671875" customWidth="1"/>
    <col min="6" max="6" width="16.33203125" customWidth="1"/>
    <col min="7" max="7" width="15.88671875" customWidth="1"/>
    <col min="9" max="9" width="11.33203125" customWidth="1"/>
  </cols>
  <sheetData>
    <row r="1" spans="1:9">
      <c r="A1" t="s">
        <v>1</v>
      </c>
      <c r="B1" t="s">
        <v>2</v>
      </c>
      <c r="C1" t="s">
        <v>3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>
      <c r="A2" s="43">
        <v>45292</v>
      </c>
      <c r="B2" s="1" t="str">
        <f t="shared" ref="B2:B37" si="0">TEXT(A2,"mmm-yy")</f>
        <v>Jan-24</v>
      </c>
      <c r="C2" s="47">
        <f t="shared" ref="C2:C37" si="1">MONTH(A2)</f>
        <v>1</v>
      </c>
      <c r="D2" t="s">
        <v>32</v>
      </c>
      <c r="E2" t="s">
        <v>33</v>
      </c>
      <c r="F2">
        <v>12000</v>
      </c>
      <c r="G2">
        <v>12000</v>
      </c>
      <c r="H2" t="s">
        <v>34</v>
      </c>
      <c r="I2" t="s">
        <v>35</v>
      </c>
    </row>
    <row r="3" spans="1:9">
      <c r="A3" s="43">
        <v>45292</v>
      </c>
      <c r="B3" s="1" t="str">
        <f t="shared" si="0"/>
        <v>Jan-24</v>
      </c>
      <c r="C3" s="47">
        <f t="shared" si="1"/>
        <v>1</v>
      </c>
      <c r="D3" t="s">
        <v>36</v>
      </c>
      <c r="E3" t="s">
        <v>37</v>
      </c>
      <c r="F3">
        <v>8000</v>
      </c>
      <c r="G3">
        <v>9200</v>
      </c>
      <c r="H3" t="s">
        <v>38</v>
      </c>
      <c r="I3" t="s">
        <v>39</v>
      </c>
    </row>
    <row r="4" spans="1:9">
      <c r="A4" s="43">
        <v>45292</v>
      </c>
      <c r="B4" s="1" t="str">
        <f t="shared" si="0"/>
        <v>Jan-24</v>
      </c>
      <c r="C4" s="47">
        <f t="shared" si="1"/>
        <v>1</v>
      </c>
      <c r="D4" t="s">
        <v>40</v>
      </c>
      <c r="E4" t="s">
        <v>41</v>
      </c>
      <c r="F4">
        <v>4500</v>
      </c>
      <c r="G4">
        <v>5100</v>
      </c>
      <c r="H4" t="s">
        <v>42</v>
      </c>
      <c r="I4" t="s">
        <v>39</v>
      </c>
    </row>
    <row r="5" spans="1:9">
      <c r="A5" s="43">
        <v>45292</v>
      </c>
      <c r="B5" s="1" t="str">
        <f t="shared" si="0"/>
        <v>Jan-24</v>
      </c>
      <c r="C5" s="47">
        <f t="shared" si="1"/>
        <v>1</v>
      </c>
      <c r="D5" t="s">
        <v>43</v>
      </c>
      <c r="E5" t="s">
        <v>44</v>
      </c>
      <c r="F5">
        <v>2500</v>
      </c>
      <c r="G5">
        <v>2400</v>
      </c>
      <c r="H5" t="s">
        <v>45</v>
      </c>
      <c r="I5" t="s">
        <v>35</v>
      </c>
    </row>
    <row r="6" spans="1:9">
      <c r="A6" s="43">
        <v>45292</v>
      </c>
      <c r="B6" s="1" t="str">
        <f t="shared" si="0"/>
        <v>Jan-24</v>
      </c>
      <c r="C6" s="47">
        <f t="shared" si="1"/>
        <v>1</v>
      </c>
      <c r="D6" t="s">
        <v>46</v>
      </c>
      <c r="E6" t="s">
        <v>47</v>
      </c>
      <c r="F6">
        <v>3000</v>
      </c>
      <c r="G6">
        <v>3150</v>
      </c>
      <c r="H6" t="s">
        <v>48</v>
      </c>
      <c r="I6" t="s">
        <v>35</v>
      </c>
    </row>
    <row r="7" spans="1:9">
      <c r="A7" s="43">
        <v>45292</v>
      </c>
      <c r="B7" s="1" t="str">
        <f t="shared" si="0"/>
        <v>Jan-24</v>
      </c>
      <c r="C7" s="47">
        <f t="shared" si="1"/>
        <v>1</v>
      </c>
      <c r="D7" t="s">
        <v>49</v>
      </c>
      <c r="E7" t="s">
        <v>50</v>
      </c>
      <c r="F7">
        <v>6000</v>
      </c>
      <c r="G7">
        <v>6000</v>
      </c>
      <c r="H7" t="s">
        <v>51</v>
      </c>
      <c r="I7" t="s">
        <v>35</v>
      </c>
    </row>
    <row r="8" spans="1:9">
      <c r="A8" s="43">
        <v>45323</v>
      </c>
      <c r="B8" s="1" t="str">
        <f t="shared" si="0"/>
        <v>Feb-24</v>
      </c>
      <c r="C8" s="47">
        <f t="shared" si="1"/>
        <v>2</v>
      </c>
      <c r="D8" t="s">
        <v>32</v>
      </c>
      <c r="E8" t="s">
        <v>33</v>
      </c>
      <c r="F8">
        <v>12000</v>
      </c>
      <c r="G8">
        <v>12200</v>
      </c>
      <c r="H8" t="s">
        <v>34</v>
      </c>
      <c r="I8" t="s">
        <v>35</v>
      </c>
    </row>
    <row r="9" spans="1:9">
      <c r="A9" s="43">
        <v>45323</v>
      </c>
      <c r="B9" s="1" t="str">
        <f t="shared" si="0"/>
        <v>Feb-24</v>
      </c>
      <c r="C9" s="47">
        <f t="shared" si="1"/>
        <v>2</v>
      </c>
      <c r="D9" t="s">
        <v>36</v>
      </c>
      <c r="E9" t="s">
        <v>37</v>
      </c>
      <c r="F9">
        <v>8500</v>
      </c>
      <c r="G9">
        <v>8700</v>
      </c>
      <c r="H9" t="s">
        <v>38</v>
      </c>
      <c r="I9" t="s">
        <v>39</v>
      </c>
    </row>
    <row r="10" spans="1:9">
      <c r="A10" s="43">
        <v>45323</v>
      </c>
      <c r="B10" s="1" t="str">
        <f t="shared" si="0"/>
        <v>Feb-24</v>
      </c>
      <c r="C10" s="47">
        <f t="shared" si="1"/>
        <v>2</v>
      </c>
      <c r="D10" t="s">
        <v>40</v>
      </c>
      <c r="E10" t="s">
        <v>41</v>
      </c>
      <c r="F10">
        <v>4700</v>
      </c>
      <c r="G10">
        <v>5350</v>
      </c>
      <c r="H10" t="s">
        <v>42</v>
      </c>
      <c r="I10" t="s">
        <v>39</v>
      </c>
    </row>
    <row r="11" spans="1:9">
      <c r="A11" s="43">
        <v>45323</v>
      </c>
      <c r="B11" s="1" t="str">
        <f t="shared" si="0"/>
        <v>Feb-24</v>
      </c>
      <c r="C11" s="47">
        <f t="shared" si="1"/>
        <v>2</v>
      </c>
      <c r="D11" t="s">
        <v>43</v>
      </c>
      <c r="E11" t="s">
        <v>44</v>
      </c>
      <c r="F11">
        <v>2500</v>
      </c>
      <c r="G11">
        <v>2550</v>
      </c>
      <c r="H11" t="s">
        <v>45</v>
      </c>
      <c r="I11" t="s">
        <v>35</v>
      </c>
    </row>
    <row r="12" spans="1:9">
      <c r="A12" s="43">
        <v>45323</v>
      </c>
      <c r="B12" s="1" t="str">
        <f t="shared" si="0"/>
        <v>Feb-24</v>
      </c>
      <c r="C12" s="47">
        <f t="shared" si="1"/>
        <v>2</v>
      </c>
      <c r="D12" t="s">
        <v>46</v>
      </c>
      <c r="E12" t="s">
        <v>47</v>
      </c>
      <c r="F12">
        <v>3000</v>
      </c>
      <c r="G12">
        <v>3200</v>
      </c>
      <c r="H12" t="s">
        <v>48</v>
      </c>
      <c r="I12" t="s">
        <v>35</v>
      </c>
    </row>
    <row r="13" spans="1:9">
      <c r="A13" s="43">
        <v>45323</v>
      </c>
      <c r="B13" s="1" t="str">
        <f t="shared" si="0"/>
        <v>Feb-24</v>
      </c>
      <c r="C13" s="47">
        <f t="shared" si="1"/>
        <v>2</v>
      </c>
      <c r="D13" t="s">
        <v>49</v>
      </c>
      <c r="E13" t="s">
        <v>50</v>
      </c>
      <c r="F13">
        <v>6000</v>
      </c>
      <c r="G13">
        <v>6000</v>
      </c>
      <c r="H13" t="s">
        <v>51</v>
      </c>
      <c r="I13" t="s">
        <v>35</v>
      </c>
    </row>
    <row r="14" spans="1:9">
      <c r="A14" s="43">
        <v>45352</v>
      </c>
      <c r="B14" s="1" t="str">
        <f t="shared" si="0"/>
        <v>Mar-24</v>
      </c>
      <c r="C14" s="47">
        <f t="shared" si="1"/>
        <v>3</v>
      </c>
      <c r="D14" t="s">
        <v>32</v>
      </c>
      <c r="E14" t="s">
        <v>33</v>
      </c>
      <c r="F14">
        <v>12500</v>
      </c>
      <c r="G14">
        <v>12600</v>
      </c>
      <c r="H14" t="s">
        <v>34</v>
      </c>
      <c r="I14" t="s">
        <v>35</v>
      </c>
    </row>
    <row r="15" spans="1:9">
      <c r="A15" s="43">
        <v>45352</v>
      </c>
      <c r="B15" s="1" t="str">
        <f t="shared" si="0"/>
        <v>Mar-24</v>
      </c>
      <c r="C15" s="47">
        <f t="shared" si="1"/>
        <v>3</v>
      </c>
      <c r="D15" t="s">
        <v>36</v>
      </c>
      <c r="E15" t="s">
        <v>37</v>
      </c>
      <c r="F15">
        <v>9000</v>
      </c>
      <c r="G15">
        <v>10300</v>
      </c>
      <c r="H15" t="s">
        <v>38</v>
      </c>
      <c r="I15" t="s">
        <v>39</v>
      </c>
    </row>
    <row r="16" spans="1:9">
      <c r="A16" s="43">
        <v>45352</v>
      </c>
      <c r="B16" s="1" t="str">
        <f t="shared" si="0"/>
        <v>Mar-24</v>
      </c>
      <c r="C16" s="47">
        <f t="shared" si="1"/>
        <v>3</v>
      </c>
      <c r="D16" t="s">
        <v>40</v>
      </c>
      <c r="E16" t="s">
        <v>41</v>
      </c>
      <c r="F16">
        <v>5000</v>
      </c>
      <c r="G16">
        <v>5750</v>
      </c>
      <c r="H16" t="s">
        <v>42</v>
      </c>
      <c r="I16" t="s">
        <v>39</v>
      </c>
    </row>
    <row r="17" spans="1:9">
      <c r="A17" s="43">
        <v>45352</v>
      </c>
      <c r="B17" s="1" t="str">
        <f t="shared" si="0"/>
        <v>Mar-24</v>
      </c>
      <c r="C17" s="47">
        <f t="shared" si="1"/>
        <v>3</v>
      </c>
      <c r="D17" t="s">
        <v>43</v>
      </c>
      <c r="E17" t="s">
        <v>44</v>
      </c>
      <c r="F17">
        <v>2600</v>
      </c>
      <c r="G17">
        <v>2650</v>
      </c>
      <c r="H17" t="s">
        <v>45</v>
      </c>
      <c r="I17" t="s">
        <v>35</v>
      </c>
    </row>
    <row r="18" spans="1:9">
      <c r="A18" s="43">
        <v>45352</v>
      </c>
      <c r="B18" s="1" t="str">
        <f t="shared" si="0"/>
        <v>Mar-24</v>
      </c>
      <c r="C18" s="47">
        <f t="shared" si="1"/>
        <v>3</v>
      </c>
      <c r="D18" t="s">
        <v>46</v>
      </c>
      <c r="E18" t="s">
        <v>47</v>
      </c>
      <c r="F18">
        <v>3200</v>
      </c>
      <c r="G18">
        <v>3350</v>
      </c>
      <c r="H18" t="s">
        <v>48</v>
      </c>
      <c r="I18" t="s">
        <v>35</v>
      </c>
    </row>
    <row r="19" spans="1:9">
      <c r="A19" s="43">
        <v>45352</v>
      </c>
      <c r="B19" s="1" t="str">
        <f t="shared" si="0"/>
        <v>Mar-24</v>
      </c>
      <c r="C19" s="47">
        <f t="shared" si="1"/>
        <v>3</v>
      </c>
      <c r="D19" t="s">
        <v>49</v>
      </c>
      <c r="E19" t="s">
        <v>52</v>
      </c>
      <c r="F19">
        <v>4000</v>
      </c>
      <c r="G19">
        <v>4600</v>
      </c>
      <c r="H19" t="s">
        <v>53</v>
      </c>
      <c r="I19" t="s">
        <v>35</v>
      </c>
    </row>
    <row r="20" spans="1:9">
      <c r="A20" s="43">
        <v>45383</v>
      </c>
      <c r="B20" s="1" t="str">
        <f t="shared" si="0"/>
        <v>Apr-24</v>
      </c>
      <c r="C20" s="47">
        <f t="shared" si="1"/>
        <v>4</v>
      </c>
      <c r="D20" t="s">
        <v>32</v>
      </c>
      <c r="E20" t="s">
        <v>33</v>
      </c>
      <c r="F20">
        <v>13000</v>
      </c>
      <c r="G20">
        <v>13200</v>
      </c>
      <c r="H20" t="s">
        <v>34</v>
      </c>
      <c r="I20" t="s">
        <v>35</v>
      </c>
    </row>
    <row r="21" spans="1:9">
      <c r="A21" s="43">
        <v>45383</v>
      </c>
      <c r="B21" s="1" t="str">
        <f t="shared" si="0"/>
        <v>Apr-24</v>
      </c>
      <c r="C21" s="47">
        <f t="shared" si="1"/>
        <v>4</v>
      </c>
      <c r="D21" t="s">
        <v>36</v>
      </c>
      <c r="E21" t="s">
        <v>37</v>
      </c>
      <c r="F21">
        <v>9500</v>
      </c>
      <c r="G21">
        <v>9800</v>
      </c>
      <c r="H21" t="s">
        <v>38</v>
      </c>
      <c r="I21" t="s">
        <v>39</v>
      </c>
    </row>
    <row r="22" spans="1:9">
      <c r="A22" s="43">
        <v>45383</v>
      </c>
      <c r="B22" s="1" t="str">
        <f t="shared" si="0"/>
        <v>Apr-24</v>
      </c>
      <c r="C22" s="47">
        <f t="shared" si="1"/>
        <v>4</v>
      </c>
      <c r="D22" t="s">
        <v>40</v>
      </c>
      <c r="E22" t="s">
        <v>41</v>
      </c>
      <c r="F22">
        <v>5200</v>
      </c>
      <c r="G22">
        <v>6100</v>
      </c>
      <c r="H22" t="s">
        <v>42</v>
      </c>
      <c r="I22" t="s">
        <v>39</v>
      </c>
    </row>
    <row r="23" spans="1:9">
      <c r="A23" s="43">
        <v>45383</v>
      </c>
      <c r="B23" s="1" t="str">
        <f t="shared" si="0"/>
        <v>Apr-24</v>
      </c>
      <c r="C23" s="47">
        <f t="shared" si="1"/>
        <v>4</v>
      </c>
      <c r="D23" t="s">
        <v>43</v>
      </c>
      <c r="E23" t="s">
        <v>44</v>
      </c>
      <c r="F23">
        <v>2700</v>
      </c>
      <c r="G23">
        <v>2800</v>
      </c>
      <c r="H23" t="s">
        <v>45</v>
      </c>
      <c r="I23" t="s">
        <v>35</v>
      </c>
    </row>
    <row r="24" spans="1:9">
      <c r="A24" s="43">
        <v>45383</v>
      </c>
      <c r="B24" s="1" t="str">
        <f t="shared" si="0"/>
        <v>Apr-24</v>
      </c>
      <c r="C24" s="47">
        <f t="shared" si="1"/>
        <v>4</v>
      </c>
      <c r="D24" t="s">
        <v>46</v>
      </c>
      <c r="E24" t="s">
        <v>47</v>
      </c>
      <c r="F24">
        <v>3300</v>
      </c>
      <c r="G24">
        <v>3450</v>
      </c>
      <c r="H24" t="s">
        <v>48</v>
      </c>
      <c r="I24" t="s">
        <v>35</v>
      </c>
    </row>
    <row r="25" spans="1:9">
      <c r="A25" s="43">
        <v>45383</v>
      </c>
      <c r="B25" s="1" t="str">
        <f t="shared" si="0"/>
        <v>Apr-24</v>
      </c>
      <c r="C25" s="47">
        <f t="shared" si="1"/>
        <v>4</v>
      </c>
      <c r="D25" t="s">
        <v>49</v>
      </c>
      <c r="E25" t="s">
        <v>50</v>
      </c>
      <c r="F25">
        <v>6200</v>
      </c>
      <c r="G25">
        <v>6200</v>
      </c>
      <c r="H25" t="s">
        <v>51</v>
      </c>
      <c r="I25" t="s">
        <v>35</v>
      </c>
    </row>
    <row r="26" spans="1:9">
      <c r="A26" s="43">
        <v>45413</v>
      </c>
      <c r="B26" s="1" t="str">
        <f t="shared" si="0"/>
        <v>May-24</v>
      </c>
      <c r="C26" s="47">
        <f t="shared" si="1"/>
        <v>5</v>
      </c>
      <c r="D26" t="s">
        <v>32</v>
      </c>
      <c r="E26" t="s">
        <v>33</v>
      </c>
      <c r="F26">
        <v>13500</v>
      </c>
      <c r="G26">
        <v>13750</v>
      </c>
      <c r="H26" t="s">
        <v>34</v>
      </c>
      <c r="I26" t="s">
        <v>35</v>
      </c>
    </row>
    <row r="27" spans="1:9">
      <c r="A27" s="43">
        <v>45413</v>
      </c>
      <c r="B27" s="1" t="str">
        <f t="shared" si="0"/>
        <v>May-24</v>
      </c>
      <c r="C27" s="47">
        <f t="shared" si="1"/>
        <v>5</v>
      </c>
      <c r="D27" t="s">
        <v>36</v>
      </c>
      <c r="E27" t="s">
        <v>37</v>
      </c>
      <c r="F27">
        <v>10000</v>
      </c>
      <c r="G27">
        <v>11600</v>
      </c>
      <c r="H27" t="s">
        <v>38</v>
      </c>
      <c r="I27" t="s">
        <v>39</v>
      </c>
    </row>
    <row r="28" spans="1:9">
      <c r="A28" s="43">
        <v>45413</v>
      </c>
      <c r="B28" s="1" t="str">
        <f t="shared" si="0"/>
        <v>May-24</v>
      </c>
      <c r="C28" s="47">
        <f t="shared" si="1"/>
        <v>5</v>
      </c>
      <c r="D28" t="s">
        <v>40</v>
      </c>
      <c r="E28" t="s">
        <v>41</v>
      </c>
      <c r="F28">
        <v>5500</v>
      </c>
      <c r="G28">
        <v>6500</v>
      </c>
      <c r="H28" t="s">
        <v>42</v>
      </c>
      <c r="I28" t="s">
        <v>39</v>
      </c>
    </row>
    <row r="29" spans="1:9">
      <c r="A29" s="43">
        <v>45413</v>
      </c>
      <c r="B29" s="1" t="str">
        <f t="shared" si="0"/>
        <v>May-24</v>
      </c>
      <c r="C29" s="47">
        <f t="shared" si="1"/>
        <v>5</v>
      </c>
      <c r="D29" t="s">
        <v>43</v>
      </c>
      <c r="E29" t="s">
        <v>44</v>
      </c>
      <c r="F29">
        <v>2800</v>
      </c>
      <c r="G29">
        <v>2900</v>
      </c>
      <c r="H29" t="s">
        <v>45</v>
      </c>
      <c r="I29" t="s">
        <v>35</v>
      </c>
    </row>
    <row r="30" spans="1:9">
      <c r="A30" s="43">
        <v>45413</v>
      </c>
      <c r="B30" s="1" t="str">
        <f t="shared" si="0"/>
        <v>May-24</v>
      </c>
      <c r="C30" s="47">
        <f t="shared" si="1"/>
        <v>5</v>
      </c>
      <c r="D30" t="s">
        <v>46</v>
      </c>
      <c r="E30" t="s">
        <v>47</v>
      </c>
      <c r="F30">
        <v>3500</v>
      </c>
      <c r="G30">
        <v>3650</v>
      </c>
      <c r="H30" t="s">
        <v>48</v>
      </c>
      <c r="I30" t="s">
        <v>35</v>
      </c>
    </row>
    <row r="31" spans="1:9">
      <c r="A31" s="43">
        <v>45413</v>
      </c>
      <c r="B31" s="1" t="str">
        <f t="shared" si="0"/>
        <v>May-24</v>
      </c>
      <c r="C31" s="47">
        <f t="shared" si="1"/>
        <v>5</v>
      </c>
      <c r="D31" t="s">
        <v>49</v>
      </c>
      <c r="E31" t="s">
        <v>50</v>
      </c>
      <c r="F31">
        <v>6200</v>
      </c>
      <c r="G31">
        <v>6200</v>
      </c>
      <c r="H31" t="s">
        <v>51</v>
      </c>
      <c r="I31" t="s">
        <v>35</v>
      </c>
    </row>
    <row r="32" spans="1:9">
      <c r="A32" s="43">
        <v>45444</v>
      </c>
      <c r="B32" s="1" t="str">
        <f t="shared" si="0"/>
        <v>Jun-24</v>
      </c>
      <c r="C32" s="47">
        <f t="shared" si="1"/>
        <v>6</v>
      </c>
      <c r="D32" t="s">
        <v>32</v>
      </c>
      <c r="E32" t="s">
        <v>33</v>
      </c>
      <c r="F32">
        <v>14000</v>
      </c>
      <c r="G32">
        <v>14200</v>
      </c>
      <c r="H32" t="s">
        <v>34</v>
      </c>
      <c r="I32" t="s">
        <v>35</v>
      </c>
    </row>
    <row r="33" spans="1:9">
      <c r="A33" s="43">
        <v>45444</v>
      </c>
      <c r="B33" s="1" t="str">
        <f t="shared" si="0"/>
        <v>Jun-24</v>
      </c>
      <c r="C33" s="47">
        <f t="shared" si="1"/>
        <v>6</v>
      </c>
      <c r="D33" t="s">
        <v>36</v>
      </c>
      <c r="E33" t="s">
        <v>37</v>
      </c>
      <c r="F33">
        <v>10500</v>
      </c>
      <c r="G33">
        <v>10800</v>
      </c>
      <c r="H33" t="s">
        <v>38</v>
      </c>
      <c r="I33" t="s">
        <v>39</v>
      </c>
    </row>
    <row r="34" spans="1:9">
      <c r="A34" s="43">
        <v>45444</v>
      </c>
      <c r="B34" s="1" t="str">
        <f t="shared" si="0"/>
        <v>Jun-24</v>
      </c>
      <c r="C34" s="47">
        <f t="shared" si="1"/>
        <v>6</v>
      </c>
      <c r="D34" t="s">
        <v>40</v>
      </c>
      <c r="E34" t="s">
        <v>41</v>
      </c>
      <c r="F34">
        <v>5800</v>
      </c>
      <c r="G34">
        <v>7000</v>
      </c>
      <c r="H34" t="s">
        <v>42</v>
      </c>
      <c r="I34" t="s">
        <v>39</v>
      </c>
    </row>
    <row r="35" spans="1:9">
      <c r="A35" s="43">
        <v>45444</v>
      </c>
      <c r="B35" s="1" t="str">
        <f t="shared" si="0"/>
        <v>Jun-24</v>
      </c>
      <c r="C35" s="47">
        <f t="shared" si="1"/>
        <v>6</v>
      </c>
      <c r="D35" t="s">
        <v>43</v>
      </c>
      <c r="E35" t="s">
        <v>44</v>
      </c>
      <c r="F35">
        <v>3000</v>
      </c>
      <c r="G35">
        <v>3150</v>
      </c>
      <c r="H35" t="s">
        <v>45</v>
      </c>
      <c r="I35" t="s">
        <v>35</v>
      </c>
    </row>
    <row r="36" spans="1:9">
      <c r="A36" s="43">
        <v>45444</v>
      </c>
      <c r="B36" s="1" t="str">
        <f t="shared" si="0"/>
        <v>Jun-24</v>
      </c>
      <c r="C36" s="47">
        <f t="shared" si="1"/>
        <v>6</v>
      </c>
      <c r="D36" t="s">
        <v>46</v>
      </c>
      <c r="E36" t="s">
        <v>47</v>
      </c>
      <c r="F36">
        <v>3600</v>
      </c>
      <c r="G36">
        <v>3800</v>
      </c>
      <c r="H36" t="s">
        <v>48</v>
      </c>
      <c r="I36" t="s">
        <v>35</v>
      </c>
    </row>
    <row r="37" spans="1:9">
      <c r="A37" s="43">
        <v>45444</v>
      </c>
      <c r="B37" s="1" t="str">
        <f t="shared" si="0"/>
        <v>Jun-24</v>
      </c>
      <c r="C37" s="47">
        <f t="shared" si="1"/>
        <v>6</v>
      </c>
      <c r="D37" t="s">
        <v>49</v>
      </c>
      <c r="E37" t="s">
        <v>52</v>
      </c>
      <c r="F37">
        <v>4200</v>
      </c>
      <c r="G37">
        <v>4800</v>
      </c>
      <c r="H37" t="s">
        <v>53</v>
      </c>
      <c r="I37" t="s">
        <v>35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7"/>
  <sheetViews>
    <sheetView workbookViewId="0"/>
  </sheetViews>
  <sheetFormatPr defaultRowHeight="14.4"/>
  <cols>
    <col min="1" max="1" width="8.21875" customWidth="1"/>
    <col min="2" max="2" width="13.44140625" customWidth="1"/>
    <col min="3" max="3" width="15.88671875" customWidth="1"/>
    <col min="4" max="4" width="27.5546875" customWidth="1"/>
    <col min="5" max="5" width="30.6640625" customWidth="1"/>
    <col min="6" max="6" width="24.88671875" customWidth="1"/>
    <col min="7" max="7" width="25.88671875" customWidth="1"/>
    <col min="8" max="8" width="21.33203125" customWidth="1"/>
    <col min="9" max="9" width="14.44140625" customWidth="1"/>
    <col min="10" max="10" width="26.21875" customWidth="1"/>
    <col min="11" max="11" width="15.33203125" customWidth="1"/>
  </cols>
  <sheetData>
    <row r="1" spans="1:11">
      <c r="A1" t="s">
        <v>1</v>
      </c>
      <c r="B1" t="s">
        <v>2</v>
      </c>
      <c r="C1" t="s">
        <v>3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</row>
    <row r="2" spans="1:11">
      <c r="A2" s="43">
        <v>45292</v>
      </c>
      <c r="B2" s="1" t="str">
        <f t="shared" ref="B2:B7" si="0">TEXT(A2,"mmm-yy")</f>
        <v>Jan-24</v>
      </c>
      <c r="C2" s="47">
        <f t="shared" ref="C2:C7" si="1">MONTH(A2)</f>
        <v>1</v>
      </c>
      <c r="D2">
        <v>1100</v>
      </c>
      <c r="E2">
        <v>1700</v>
      </c>
      <c r="F2">
        <v>200</v>
      </c>
      <c r="G2">
        <v>1200</v>
      </c>
      <c r="H2">
        <v>4200</v>
      </c>
      <c r="I2">
        <v>1300</v>
      </c>
      <c r="J2">
        <v>36000</v>
      </c>
      <c r="K2">
        <v>-33100</v>
      </c>
    </row>
    <row r="3" spans="1:11">
      <c r="A3" s="43">
        <v>45323</v>
      </c>
      <c r="B3" s="1" t="str">
        <f t="shared" si="0"/>
        <v>Feb-24</v>
      </c>
      <c r="C3" s="47">
        <f t="shared" si="1"/>
        <v>2</v>
      </c>
      <c r="D3">
        <v>1100</v>
      </c>
      <c r="E3">
        <v>1800</v>
      </c>
      <c r="F3">
        <v>200</v>
      </c>
      <c r="G3">
        <v>0</v>
      </c>
      <c r="H3">
        <v>3100</v>
      </c>
      <c r="I3">
        <v>1350</v>
      </c>
      <c r="J3">
        <v>36700</v>
      </c>
      <c r="K3">
        <v>-34950</v>
      </c>
    </row>
    <row r="4" spans="1:11">
      <c r="A4" s="43">
        <v>45352</v>
      </c>
      <c r="B4" s="1" t="str">
        <f t="shared" si="0"/>
        <v>Mar-24</v>
      </c>
      <c r="C4" s="47">
        <f t="shared" si="1"/>
        <v>3</v>
      </c>
      <c r="D4">
        <v>1400</v>
      </c>
      <c r="E4">
        <v>2100</v>
      </c>
      <c r="F4">
        <v>250</v>
      </c>
      <c r="G4">
        <v>500</v>
      </c>
      <c r="H4">
        <v>4250</v>
      </c>
      <c r="I4">
        <v>1500</v>
      </c>
      <c r="J4">
        <v>38300</v>
      </c>
      <c r="K4">
        <v>-35550</v>
      </c>
    </row>
    <row r="5" spans="1:11">
      <c r="A5" s="43">
        <v>45383</v>
      </c>
      <c r="B5" s="1" t="str">
        <f t="shared" si="0"/>
        <v>Apr-24</v>
      </c>
      <c r="C5" s="47">
        <f t="shared" si="1"/>
        <v>4</v>
      </c>
      <c r="D5">
        <v>1900</v>
      </c>
      <c r="E5">
        <v>2400</v>
      </c>
      <c r="F5">
        <v>400</v>
      </c>
      <c r="G5">
        <v>700</v>
      </c>
      <c r="H5">
        <v>5400</v>
      </c>
      <c r="I5">
        <v>1750</v>
      </c>
      <c r="J5">
        <v>40200</v>
      </c>
      <c r="K5">
        <v>-36550</v>
      </c>
    </row>
    <row r="6" spans="1:11">
      <c r="A6" s="43">
        <v>45413</v>
      </c>
      <c r="B6" s="1" t="str">
        <f t="shared" si="0"/>
        <v>May-24</v>
      </c>
      <c r="C6" s="47">
        <f t="shared" si="1"/>
        <v>5</v>
      </c>
      <c r="D6">
        <v>2200</v>
      </c>
      <c r="E6">
        <v>2800</v>
      </c>
      <c r="F6">
        <v>450</v>
      </c>
      <c r="G6">
        <v>500</v>
      </c>
      <c r="H6">
        <v>5950</v>
      </c>
      <c r="I6">
        <v>1950</v>
      </c>
      <c r="J6">
        <v>41500</v>
      </c>
      <c r="K6">
        <v>-37500</v>
      </c>
    </row>
    <row r="7" spans="1:11">
      <c r="A7" s="43">
        <v>45444</v>
      </c>
      <c r="B7" s="1" t="str">
        <f t="shared" si="0"/>
        <v>Jun-24</v>
      </c>
      <c r="C7" s="47">
        <f t="shared" si="1"/>
        <v>6</v>
      </c>
      <c r="D7">
        <v>2500</v>
      </c>
      <c r="E7">
        <v>3200</v>
      </c>
      <c r="F7">
        <v>600</v>
      </c>
      <c r="G7">
        <v>700</v>
      </c>
      <c r="H7">
        <v>7000</v>
      </c>
      <c r="I7">
        <v>2200</v>
      </c>
      <c r="J7">
        <v>42100</v>
      </c>
      <c r="K7">
        <v>-37300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7"/>
  <sheetViews>
    <sheetView workbookViewId="0"/>
  </sheetViews>
  <sheetFormatPr defaultRowHeight="14.4"/>
  <cols>
    <col min="1" max="1" width="8.21875" customWidth="1"/>
    <col min="2" max="2" width="13.44140625" customWidth="1"/>
    <col min="3" max="3" width="15.88671875" customWidth="1"/>
    <col min="4" max="4" width="17.33203125" customWidth="1"/>
    <col min="5" max="5" width="16.33203125" customWidth="1"/>
    <col min="6" max="6" width="16.109375" customWidth="1"/>
    <col min="7" max="7" width="12.33203125" customWidth="1"/>
    <col min="8" max="8" width="29.6640625" customWidth="1"/>
    <col min="10" max="10" width="14.33203125" customWidth="1"/>
    <col min="11" max="11" width="22.44140625" customWidth="1"/>
  </cols>
  <sheetData>
    <row r="1" spans="1:11">
      <c r="A1" t="s">
        <v>1</v>
      </c>
      <c r="B1" t="s">
        <v>2</v>
      </c>
      <c r="C1" t="s">
        <v>3</v>
      </c>
      <c r="D1" t="s">
        <v>62</v>
      </c>
      <c r="E1" t="s">
        <v>63</v>
      </c>
      <c r="F1" t="s">
        <v>64</v>
      </c>
      <c r="G1" t="s">
        <v>65</v>
      </c>
      <c r="H1" t="s">
        <v>66</v>
      </c>
      <c r="I1" t="s">
        <v>67</v>
      </c>
      <c r="J1" t="s">
        <v>68</v>
      </c>
      <c r="K1" t="s">
        <v>69</v>
      </c>
    </row>
    <row r="2" spans="1:11">
      <c r="A2" s="43">
        <v>45292</v>
      </c>
      <c r="B2" s="1" t="str">
        <f t="shared" ref="B2:B7" si="0">TEXT(A2,"mmm-yy")</f>
        <v>Jan-24</v>
      </c>
      <c r="C2" s="47">
        <f t="shared" ref="C2:C7" si="1">MONTH(A2)</f>
        <v>1</v>
      </c>
      <c r="D2">
        <v>2</v>
      </c>
      <c r="E2">
        <v>2</v>
      </c>
      <c r="F2">
        <v>0</v>
      </c>
      <c r="G2">
        <v>0</v>
      </c>
      <c r="H2">
        <v>2093.5</v>
      </c>
      <c r="I2">
        <v>4600</v>
      </c>
      <c r="J2">
        <v>0.69</v>
      </c>
      <c r="K2">
        <v>1</v>
      </c>
    </row>
    <row r="3" spans="1:11">
      <c r="A3" s="43">
        <v>45323</v>
      </c>
      <c r="B3" s="1" t="str">
        <f t="shared" si="0"/>
        <v>Feb-24</v>
      </c>
      <c r="C3" s="47">
        <f t="shared" si="1"/>
        <v>2</v>
      </c>
      <c r="D3">
        <v>2</v>
      </c>
      <c r="E3">
        <v>0</v>
      </c>
      <c r="F3">
        <v>0</v>
      </c>
      <c r="G3">
        <v>0</v>
      </c>
      <c r="H3">
        <v>1526</v>
      </c>
      <c r="I3">
        <v>0</v>
      </c>
      <c r="J3">
        <v>0.68</v>
      </c>
      <c r="K3">
        <v>1.02</v>
      </c>
    </row>
    <row r="4" spans="1:11">
      <c r="A4" s="43">
        <v>45352</v>
      </c>
      <c r="B4" s="1" t="str">
        <f t="shared" si="0"/>
        <v>Mar-24</v>
      </c>
      <c r="C4" s="47">
        <f t="shared" si="1"/>
        <v>3</v>
      </c>
      <c r="D4">
        <v>3</v>
      </c>
      <c r="E4">
        <v>1</v>
      </c>
      <c r="F4">
        <v>0</v>
      </c>
      <c r="G4">
        <v>0</v>
      </c>
      <c r="H4">
        <v>1452.67</v>
      </c>
      <c r="I4">
        <v>10300</v>
      </c>
      <c r="J4">
        <v>0.66</v>
      </c>
      <c r="K4">
        <v>1.03</v>
      </c>
    </row>
    <row r="5" spans="1:11">
      <c r="A5" s="43">
        <v>45383</v>
      </c>
      <c r="B5" s="1" t="str">
        <f t="shared" si="0"/>
        <v>Apr-24</v>
      </c>
      <c r="C5" s="47">
        <f t="shared" si="1"/>
        <v>4</v>
      </c>
      <c r="D5">
        <v>4</v>
      </c>
      <c r="E5">
        <v>1</v>
      </c>
      <c r="F5">
        <v>0</v>
      </c>
      <c r="G5">
        <v>0</v>
      </c>
      <c r="H5">
        <v>1645.75</v>
      </c>
      <c r="I5">
        <v>9800</v>
      </c>
      <c r="J5">
        <v>0.65</v>
      </c>
      <c r="K5">
        <v>1.04</v>
      </c>
    </row>
    <row r="6" spans="1:11">
      <c r="A6" s="43">
        <v>45413</v>
      </c>
      <c r="B6" s="1" t="str">
        <f t="shared" si="0"/>
        <v>May-24</v>
      </c>
      <c r="C6" s="47">
        <f t="shared" si="1"/>
        <v>5</v>
      </c>
      <c r="D6">
        <v>5</v>
      </c>
      <c r="E6">
        <v>1</v>
      </c>
      <c r="F6">
        <v>0</v>
      </c>
      <c r="G6">
        <v>0</v>
      </c>
      <c r="H6">
        <v>1456</v>
      </c>
      <c r="I6">
        <v>11600</v>
      </c>
      <c r="J6">
        <v>0.64</v>
      </c>
      <c r="K6">
        <v>1.02</v>
      </c>
    </row>
    <row r="7" spans="1:11">
      <c r="A7" s="43">
        <v>45444</v>
      </c>
      <c r="B7" s="1" t="str">
        <f t="shared" si="0"/>
        <v>Jun-24</v>
      </c>
      <c r="C7" s="47">
        <f t="shared" si="1"/>
        <v>6</v>
      </c>
      <c r="D7">
        <v>5</v>
      </c>
      <c r="E7">
        <v>1</v>
      </c>
      <c r="F7">
        <v>1</v>
      </c>
      <c r="G7">
        <v>0.2</v>
      </c>
      <c r="H7">
        <v>1786.2</v>
      </c>
      <c r="I7">
        <v>10800</v>
      </c>
      <c r="J7">
        <v>0.63</v>
      </c>
      <c r="K7">
        <v>0.98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4"/>
  <sheetViews>
    <sheetView workbookViewId="0"/>
  </sheetViews>
  <sheetFormatPr defaultRowHeight="14.4"/>
  <cols>
    <col min="1" max="1" width="10.21875" customWidth="1"/>
    <col min="2" max="2" width="22.33203125" customWidth="1"/>
    <col min="3" max="3" width="12.33203125" customWidth="1"/>
    <col min="4" max="4" width="26.44140625" customWidth="1"/>
    <col min="5" max="5" width="16.5546875" customWidth="1"/>
    <col min="6" max="6" width="13.33203125" customWidth="1"/>
    <col min="7" max="7" width="16.33203125" customWidth="1"/>
    <col min="8" max="8" width="24.109375" customWidth="1"/>
  </cols>
  <sheetData>
    <row r="1" spans="1:8">
      <c r="A1" t="s">
        <v>70</v>
      </c>
      <c r="B1" t="s">
        <v>71</v>
      </c>
      <c r="C1" t="s">
        <v>65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</row>
    <row r="2" spans="1:8">
      <c r="A2" t="s">
        <v>77</v>
      </c>
      <c r="B2">
        <v>0.08</v>
      </c>
      <c r="C2">
        <v>0.04</v>
      </c>
      <c r="D2">
        <v>0.1</v>
      </c>
      <c r="E2">
        <v>0.03</v>
      </c>
      <c r="F2">
        <v>0.05</v>
      </c>
      <c r="G2">
        <v>0.04</v>
      </c>
      <c r="H2">
        <v>7.0000000000000007E-2</v>
      </c>
    </row>
    <row r="3" spans="1:8">
      <c r="A3" t="s">
        <v>78</v>
      </c>
      <c r="B3">
        <v>0.12</v>
      </c>
      <c r="C3">
        <v>0.02</v>
      </c>
      <c r="D3">
        <v>0.15</v>
      </c>
      <c r="E3">
        <v>0.05</v>
      </c>
      <c r="F3">
        <v>0</v>
      </c>
      <c r="G3">
        <v>0.03</v>
      </c>
      <c r="H3">
        <v>0.1</v>
      </c>
    </row>
    <row r="4" spans="1:8">
      <c r="A4" t="s">
        <v>79</v>
      </c>
      <c r="B4">
        <v>0.04</v>
      </c>
      <c r="C4">
        <v>0.08</v>
      </c>
      <c r="D4">
        <v>0.05</v>
      </c>
      <c r="E4">
        <v>0</v>
      </c>
      <c r="F4">
        <v>0.12</v>
      </c>
      <c r="G4">
        <v>0.06</v>
      </c>
      <c r="H4">
        <v>0.03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7"/>
  <sheetViews>
    <sheetView workbookViewId="0"/>
  </sheetViews>
  <sheetFormatPr defaultRowHeight="14.4"/>
  <cols>
    <col min="1" max="1" width="5.5546875" customWidth="1"/>
    <col min="2" max="2" width="10.6640625" customWidth="1"/>
    <col min="3" max="4" width="12.88671875" customWidth="1"/>
    <col min="5" max="5" width="14.5546875" customWidth="1"/>
    <col min="6" max="6" width="11.77734375" customWidth="1"/>
    <col min="7" max="7" width="10.88671875" customWidth="1"/>
    <col min="8" max="8" width="12" customWidth="1"/>
    <col min="9" max="9" width="9.6640625" customWidth="1"/>
    <col min="10" max="10" width="13.109375" customWidth="1"/>
    <col min="11" max="11" width="15.5546875" customWidth="1"/>
    <col min="12" max="12" width="10.33203125" customWidth="1"/>
    <col min="13" max="13" width="6" customWidth="1"/>
    <col min="14" max="14" width="20.21875" customWidth="1"/>
  </cols>
  <sheetData>
    <row r="1" spans="1:14">
      <c r="A1" s="7" t="s">
        <v>1</v>
      </c>
      <c r="B1" s="8" t="s">
        <v>2</v>
      </c>
      <c r="C1" s="8" t="s">
        <v>3</v>
      </c>
      <c r="D1" s="8" t="s">
        <v>80</v>
      </c>
      <c r="E1" s="8" t="s">
        <v>81</v>
      </c>
      <c r="F1" s="8" t="s">
        <v>82</v>
      </c>
      <c r="G1" s="8" t="s">
        <v>83</v>
      </c>
      <c r="H1" s="8" t="s">
        <v>68</v>
      </c>
      <c r="I1" s="8" t="s">
        <v>84</v>
      </c>
      <c r="J1" s="8" t="s">
        <v>85</v>
      </c>
      <c r="K1" s="8" t="s">
        <v>62</v>
      </c>
      <c r="L1" s="8" t="s">
        <v>65</v>
      </c>
      <c r="M1" s="8" t="s">
        <v>67</v>
      </c>
      <c r="N1" s="9" t="s">
        <v>69</v>
      </c>
    </row>
    <row r="2" spans="1:14">
      <c r="A2" s="45">
        <v>45292</v>
      </c>
      <c r="B2" s="1" t="str">
        <f>TEXT(A2,"mmm-yy")</f>
        <v>Jan-24</v>
      </c>
      <c r="C2" s="47">
        <f>MONTH(A2)</f>
        <v>1</v>
      </c>
      <c r="D2">
        <f>SUMIFS(tblRevenue[Total_Revenue],tblRevenue[Month],A2)</f>
        <v>4187</v>
      </c>
      <c r="E2">
        <f>SUMIFS(tblExpenses[Actual_Expense],tblExpenses[Month],A2)</f>
        <v>37850</v>
      </c>
      <c r="F2">
        <f>D2-G2</f>
        <v>1297.9700000000003</v>
      </c>
      <c r="G2">
        <f>D2*H2</f>
        <v>2889.0299999999997</v>
      </c>
      <c r="H2">
        <f>_xlfn.XLOOKUP(A2,KPI_Data!A:A,KPI_Data!J:J)</f>
        <v>0.69</v>
      </c>
      <c r="I2">
        <f>G2-E2</f>
        <v>-34960.97</v>
      </c>
      <c r="J2">
        <f>I2/D2</f>
        <v>-8.3498853594459046</v>
      </c>
      <c r="K2">
        <f>_xlfn.XLOOKUP(A2,tblKPI[Month],tblKPI[Active_Customers])</f>
        <v>2</v>
      </c>
      <c r="L2">
        <f>_xlfn.XLOOKUP(A2,tblKPI[Month],tblKPI[Churn_Rate])</f>
        <v>0</v>
      </c>
      <c r="M2">
        <f>_xlfn.XLOOKUP(A2,tblKPI[Month],tblKPI[CAC])</f>
        <v>4600</v>
      </c>
      <c r="N2" s="5">
        <f>_xlfn.XLOOKUP(A2,tblKPI[Month],tblKPI[Net_Revenue_Retention])</f>
        <v>1</v>
      </c>
    </row>
    <row r="3" spans="1:14">
      <c r="A3" s="45">
        <v>45323</v>
      </c>
      <c r="B3" s="1" t="str">
        <f t="shared" ref="B3:B7" si="0">TEXT(A3,"mmm-yy")</f>
        <v>Feb-24</v>
      </c>
      <c r="C3" s="47">
        <f t="shared" ref="C3:C7" si="1">MONTH(A3)</f>
        <v>2</v>
      </c>
      <c r="D3">
        <f>SUMIFS(tblRevenue[Total_Revenue],tblRevenue[Month],A3)</f>
        <v>3052</v>
      </c>
      <c r="E3">
        <f>SUMIFS(tblExpenses[Actual_Expense],tblExpenses[Month],A3)</f>
        <v>38000</v>
      </c>
      <c r="F3">
        <f t="shared" ref="F3:F7" si="2">D3-G3</f>
        <v>976.63999999999987</v>
      </c>
      <c r="G3">
        <f t="shared" ref="G3:G7" si="3">D3*H3</f>
        <v>2075.36</v>
      </c>
      <c r="H3">
        <f>_xlfn.XLOOKUP(A3,KPI_Data!A:A,KPI_Data!J:J)</f>
        <v>0.68</v>
      </c>
      <c r="I3">
        <f t="shared" ref="I3:I7" si="4">G3-E3</f>
        <v>-35924.639999999999</v>
      </c>
      <c r="J3">
        <f t="shared" ref="J3:J7" si="5">I3/D3</f>
        <v>-11.770851900393184</v>
      </c>
      <c r="K3">
        <f>_xlfn.XLOOKUP(A3,tblKPI[Month],tblKPI[Active_Customers])</f>
        <v>2</v>
      </c>
      <c r="L3">
        <f>_xlfn.XLOOKUP(A3,tblKPI[Month],tblKPI[Churn_Rate])</f>
        <v>0</v>
      </c>
      <c r="M3">
        <f>_xlfn.XLOOKUP(A3,tblKPI[Month],tblKPI[CAC])</f>
        <v>0</v>
      </c>
      <c r="N3" s="5">
        <f>_xlfn.XLOOKUP(A3,tblKPI[Month],tblKPI[Net_Revenue_Retention])</f>
        <v>1.02</v>
      </c>
    </row>
    <row r="4" spans="1:14">
      <c r="A4" s="45">
        <v>45352</v>
      </c>
      <c r="B4" s="1" t="str">
        <f t="shared" si="0"/>
        <v>Mar-24</v>
      </c>
      <c r="C4" s="47">
        <f t="shared" si="1"/>
        <v>3</v>
      </c>
      <c r="D4">
        <f>SUMIFS(tblRevenue[Total_Revenue],tblRevenue[Month],A4)</f>
        <v>4358</v>
      </c>
      <c r="E4">
        <f>SUMIFS(tblExpenses[Actual_Expense],tblExpenses[Month],A4)</f>
        <v>39250</v>
      </c>
      <c r="F4">
        <f t="shared" si="2"/>
        <v>1481.7199999999998</v>
      </c>
      <c r="G4">
        <f t="shared" si="3"/>
        <v>2876.28</v>
      </c>
      <c r="H4">
        <f>_xlfn.XLOOKUP(A4,KPI_Data!A:A,KPI_Data!J:J)</f>
        <v>0.66</v>
      </c>
      <c r="I4">
        <f t="shared" si="4"/>
        <v>-36373.72</v>
      </c>
      <c r="J4">
        <f t="shared" si="5"/>
        <v>-8.3464249655805425</v>
      </c>
      <c r="K4">
        <f>_xlfn.XLOOKUP(A4,tblKPI[Month],tblKPI[Active_Customers])</f>
        <v>3</v>
      </c>
      <c r="L4">
        <f>_xlfn.XLOOKUP(A4,tblKPI[Month],tblKPI[Churn_Rate])</f>
        <v>0</v>
      </c>
      <c r="M4">
        <f>_xlfn.XLOOKUP(A4,tblKPI[Month],tblKPI[CAC])</f>
        <v>10300</v>
      </c>
      <c r="N4" s="5">
        <f>_xlfn.XLOOKUP(A4,tblKPI[Month],tblKPI[Net_Revenue_Retention])</f>
        <v>1.03</v>
      </c>
    </row>
    <row r="5" spans="1:14">
      <c r="A5" s="45">
        <v>45383</v>
      </c>
      <c r="B5" s="1" t="str">
        <f t="shared" si="0"/>
        <v>Apr-24</v>
      </c>
      <c r="C5" s="47">
        <f t="shared" si="1"/>
        <v>4</v>
      </c>
      <c r="D5">
        <f>SUMIFS(tblRevenue[Total_Revenue],tblRevenue[Month],A5)</f>
        <v>6583</v>
      </c>
      <c r="E5">
        <f>SUMIFS(tblExpenses[Actual_Expense],tblExpenses[Month],A5)</f>
        <v>41550</v>
      </c>
      <c r="F5">
        <f t="shared" si="2"/>
        <v>2304.0500000000002</v>
      </c>
      <c r="G5">
        <f t="shared" si="3"/>
        <v>4278.95</v>
      </c>
      <c r="H5">
        <f>_xlfn.XLOOKUP(A5,KPI_Data!A:A,KPI_Data!J:J)</f>
        <v>0.65</v>
      </c>
      <c r="I5">
        <f t="shared" si="4"/>
        <v>-37271.050000000003</v>
      </c>
      <c r="J5">
        <f t="shared" si="5"/>
        <v>-5.6617119854169839</v>
      </c>
      <c r="K5">
        <f>_xlfn.XLOOKUP(A5,tblKPI[Month],tblKPI[Active_Customers])</f>
        <v>4</v>
      </c>
      <c r="L5">
        <f>_xlfn.XLOOKUP(A5,tblKPI[Month],tblKPI[Churn_Rate])</f>
        <v>0</v>
      </c>
      <c r="M5">
        <f>_xlfn.XLOOKUP(A5,tblKPI[Month],tblKPI[CAC])</f>
        <v>9800</v>
      </c>
      <c r="N5" s="5">
        <f>_xlfn.XLOOKUP(A5,tblKPI[Month],tblKPI[Net_Revenue_Retention])</f>
        <v>1.04</v>
      </c>
    </row>
    <row r="6" spans="1:14">
      <c r="A6" s="45">
        <v>45413</v>
      </c>
      <c r="B6" s="1" t="str">
        <f t="shared" si="0"/>
        <v>May-24</v>
      </c>
      <c r="C6" s="47">
        <f t="shared" si="1"/>
        <v>5</v>
      </c>
      <c r="D6">
        <f>SUMIFS(tblRevenue[Total_Revenue],tblRevenue[Month],A6)</f>
        <v>7280</v>
      </c>
      <c r="E6">
        <f>SUMIFS(tblExpenses[Actual_Expense],tblExpenses[Month],A6)</f>
        <v>44600</v>
      </c>
      <c r="F6">
        <f t="shared" si="2"/>
        <v>2620.8000000000002</v>
      </c>
      <c r="G6">
        <f t="shared" si="3"/>
        <v>4659.2</v>
      </c>
      <c r="H6">
        <f>_xlfn.XLOOKUP(A6,KPI_Data!A:A,KPI_Data!J:J)</f>
        <v>0.64</v>
      </c>
      <c r="I6">
        <f t="shared" si="4"/>
        <v>-39940.800000000003</v>
      </c>
      <c r="J6">
        <f t="shared" si="5"/>
        <v>-5.4863736263736271</v>
      </c>
      <c r="K6">
        <f>_xlfn.XLOOKUP(A6,tblKPI[Month],tblKPI[Active_Customers])</f>
        <v>5</v>
      </c>
      <c r="L6">
        <f>_xlfn.XLOOKUP(A6,tblKPI[Month],tblKPI[Churn_Rate])</f>
        <v>0</v>
      </c>
      <c r="M6">
        <f>_xlfn.XLOOKUP(A6,tblKPI[Month],tblKPI[CAC])</f>
        <v>11600</v>
      </c>
      <c r="N6" s="5">
        <f>_xlfn.XLOOKUP(A6,tblKPI[Month],tblKPI[Net_Revenue_Retention])</f>
        <v>1.02</v>
      </c>
    </row>
    <row r="7" spans="1:14">
      <c r="A7" s="46">
        <v>45444</v>
      </c>
      <c r="B7" s="1" t="str">
        <f t="shared" si="0"/>
        <v>Jun-24</v>
      </c>
      <c r="C7" s="47">
        <f t="shared" si="1"/>
        <v>6</v>
      </c>
      <c r="D7" s="10">
        <f>SUMIFS(tblRevenue[Total_Revenue],tblRevenue[Month],A7)</f>
        <v>9531</v>
      </c>
      <c r="E7" s="10">
        <f>SUMIFS(tblExpenses[Actual_Expense],tblExpenses[Month],A7)</f>
        <v>43750</v>
      </c>
      <c r="F7">
        <f t="shared" si="2"/>
        <v>3526.4700000000003</v>
      </c>
      <c r="G7">
        <f t="shared" si="3"/>
        <v>6004.53</v>
      </c>
      <c r="H7">
        <f>_xlfn.XLOOKUP(A7,KPI_Data!A:A,KPI_Data!J:J)</f>
        <v>0.63</v>
      </c>
      <c r="I7" s="10">
        <f t="shared" si="4"/>
        <v>-37745.47</v>
      </c>
      <c r="J7" s="10">
        <f t="shared" si="5"/>
        <v>-3.9602843353268282</v>
      </c>
      <c r="K7" s="10">
        <f>_xlfn.XLOOKUP(A7,tblKPI[Month],tblKPI[Active_Customers])</f>
        <v>5</v>
      </c>
      <c r="L7" s="10">
        <f>_xlfn.XLOOKUP(A7,tblKPI[Month],tblKPI[Churn_Rate])</f>
        <v>0.2</v>
      </c>
      <c r="M7" s="10">
        <f>_xlfn.XLOOKUP(A7,tblKPI[Month],tblKPI[CAC])</f>
        <v>10800</v>
      </c>
      <c r="N7" s="6">
        <f>_xlfn.XLOOKUP(A7,tblKPI[Month],tblKPI[Net_Revenue_Retention])</f>
        <v>0.98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7"/>
  <sheetViews>
    <sheetView zoomScale="76" zoomScaleNormal="76" workbookViewId="0">
      <selection activeCell="H16" sqref="H16"/>
    </sheetView>
  </sheetViews>
  <sheetFormatPr defaultRowHeight="14.4"/>
  <cols>
    <col min="1" max="1" width="5.5546875" customWidth="1"/>
    <col min="2" max="2" width="10.6640625" customWidth="1"/>
    <col min="3" max="4" width="12.88671875" customWidth="1"/>
    <col min="5" max="5" width="14.33203125" customWidth="1"/>
    <col min="6" max="6" width="16" customWidth="1"/>
    <col min="7" max="7" width="18.44140625" customWidth="1"/>
    <col min="8" max="8" width="14.5546875" customWidth="1"/>
    <col min="9" max="9" width="15" customWidth="1"/>
    <col min="10" max="10" width="15.77734375" customWidth="1"/>
    <col min="11" max="11" width="18.21875" customWidth="1"/>
    <col min="12" max="12" width="12.6640625" customWidth="1"/>
    <col min="13" max="13" width="13.21875" customWidth="1"/>
    <col min="14" max="14" width="14.88671875" customWidth="1"/>
    <col min="15" max="15" width="17.33203125" customWidth="1"/>
  </cols>
  <sheetData>
    <row r="1" spans="1:15">
      <c r="A1" s="7" t="s">
        <v>1</v>
      </c>
      <c r="B1" s="8" t="s">
        <v>2</v>
      </c>
      <c r="C1" s="8" t="s">
        <v>3</v>
      </c>
      <c r="D1" s="8" t="s">
        <v>80</v>
      </c>
      <c r="E1" s="8" t="s">
        <v>86</v>
      </c>
      <c r="F1" s="8" t="s">
        <v>87</v>
      </c>
      <c r="G1" s="8" t="s">
        <v>88</v>
      </c>
      <c r="H1" s="8" t="s">
        <v>81</v>
      </c>
      <c r="I1" s="8" t="s">
        <v>89</v>
      </c>
      <c r="J1" s="8" t="s">
        <v>90</v>
      </c>
      <c r="K1" s="8" t="s">
        <v>91</v>
      </c>
      <c r="L1" s="8" t="s">
        <v>92</v>
      </c>
      <c r="M1" s="8" t="s">
        <v>61</v>
      </c>
      <c r="N1" s="8" t="s">
        <v>93</v>
      </c>
      <c r="O1" s="9" t="s">
        <v>94</v>
      </c>
    </row>
    <row r="2" spans="1:15">
      <c r="A2" s="45">
        <v>45292</v>
      </c>
      <c r="B2" s="1" t="str">
        <f>TEXT(A2,"mmm-yy")</f>
        <v>Jan-24</v>
      </c>
      <c r="C2" s="47">
        <f>MONTH(A2)</f>
        <v>1</v>
      </c>
      <c r="D2">
        <f>_xlfn.XLOOKUP(A2,Monthly_Summary!A:A,Monthly_Summary!D:D)</f>
        <v>4187</v>
      </c>
      <c r="E2">
        <f>_xlfn.XLOOKUP(A2,tblBudget[Month],tblBudget[Budget_Total_Revenue])</f>
        <v>4200</v>
      </c>
      <c r="F2">
        <f>D2-E2</f>
        <v>-13</v>
      </c>
      <c r="G2">
        <f>F2/E2</f>
        <v>-3.0952380952380953E-3</v>
      </c>
      <c r="H2">
        <f>_xlfn.XLOOKUP(A2,Monthly_Summary!A:A,Monthly_Summary!E:E)</f>
        <v>37850</v>
      </c>
      <c r="I2">
        <f>_xlfn.XLOOKUP(A2,tblBudget[Month],tblBudget[Budget_Operating_Expenses])</f>
        <v>36000</v>
      </c>
      <c r="J2">
        <f>H2-I2</f>
        <v>1850</v>
      </c>
      <c r="K2">
        <f>J2/I2</f>
        <v>5.1388888888888887E-2</v>
      </c>
      <c r="L2">
        <f>_xlfn.XLOOKUP(A2,Monthly_Summary!A:A,Monthly_Summary!I:I)</f>
        <v>-34960.97</v>
      </c>
      <c r="M2">
        <f>_xlfn.XLOOKUP(A2,tblBudget[Month],tblBudget[Budget_EBITDA])</f>
        <v>-33100</v>
      </c>
      <c r="N2">
        <f>L2-M2</f>
        <v>-1860.9700000000012</v>
      </c>
      <c r="O2" s="5">
        <f>N2/ABS(M2)</f>
        <v>-5.6222658610271939E-2</v>
      </c>
    </row>
    <row r="3" spans="1:15">
      <c r="A3" s="45">
        <v>45323</v>
      </c>
      <c r="B3" s="1" t="str">
        <f t="shared" ref="B3:B7" si="0">TEXT(A3,"mmm-yy")</f>
        <v>Feb-24</v>
      </c>
      <c r="C3" s="47">
        <f t="shared" ref="C3:C7" si="1">MONTH(A3)</f>
        <v>2</v>
      </c>
      <c r="D3">
        <f>_xlfn.XLOOKUP(A3,Monthly_Summary!A:A,Monthly_Summary!D:D)</f>
        <v>3052</v>
      </c>
      <c r="E3">
        <f>_xlfn.XLOOKUP(A3,tblBudget[Month],tblBudget[Budget_Total_Revenue])</f>
        <v>3100</v>
      </c>
      <c r="F3">
        <f t="shared" ref="F3:F7" si="2">D3-E3</f>
        <v>-48</v>
      </c>
      <c r="G3">
        <f t="shared" ref="G3:G7" si="3">F3/E3</f>
        <v>-1.5483870967741935E-2</v>
      </c>
      <c r="H3">
        <f>_xlfn.XLOOKUP(A3,Monthly_Summary!A:A,Monthly_Summary!E:E)</f>
        <v>38000</v>
      </c>
      <c r="I3">
        <f>_xlfn.XLOOKUP(A3,tblBudget[Month],tblBudget[Budget_Operating_Expenses])</f>
        <v>36700</v>
      </c>
      <c r="J3">
        <f t="shared" ref="J3:J7" si="4">H3-I3</f>
        <v>1300</v>
      </c>
      <c r="K3">
        <f t="shared" ref="K3:K7" si="5">J3/I3</f>
        <v>3.5422343324250684E-2</v>
      </c>
      <c r="L3">
        <f>_xlfn.XLOOKUP(A3,Monthly_Summary!A:A,Monthly_Summary!I:I)</f>
        <v>-35924.639999999999</v>
      </c>
      <c r="M3">
        <f>_xlfn.XLOOKUP(A3,tblBudget[Month],tblBudget[Budget_EBITDA])</f>
        <v>-34950</v>
      </c>
      <c r="N3">
        <f t="shared" ref="N3:N7" si="6">L3-M3</f>
        <v>-974.63999999999942</v>
      </c>
      <c r="O3" s="5">
        <f t="shared" ref="O3:O7" si="7">N3/ABS(M3)</f>
        <v>-2.788669527896994E-2</v>
      </c>
    </row>
    <row r="4" spans="1:15">
      <c r="A4" s="45">
        <v>45352</v>
      </c>
      <c r="B4" s="1" t="str">
        <f t="shared" si="0"/>
        <v>Mar-24</v>
      </c>
      <c r="C4" s="47">
        <f t="shared" si="1"/>
        <v>3</v>
      </c>
      <c r="D4">
        <f>_xlfn.XLOOKUP(A4,Monthly_Summary!A:A,Monthly_Summary!D:D)</f>
        <v>4358</v>
      </c>
      <c r="E4">
        <f>_xlfn.XLOOKUP(A4,tblBudget[Month],tblBudget[Budget_Total_Revenue])</f>
        <v>4250</v>
      </c>
      <c r="F4">
        <f t="shared" si="2"/>
        <v>108</v>
      </c>
      <c r="G4">
        <f t="shared" si="3"/>
        <v>2.5411764705882352E-2</v>
      </c>
      <c r="H4">
        <f>_xlfn.XLOOKUP(A4,Monthly_Summary!A:A,Monthly_Summary!E:E)</f>
        <v>39250</v>
      </c>
      <c r="I4">
        <f>_xlfn.XLOOKUP(A4,tblBudget[Month],tblBudget[Budget_Operating_Expenses])</f>
        <v>38300</v>
      </c>
      <c r="J4">
        <f t="shared" si="4"/>
        <v>950</v>
      </c>
      <c r="K4">
        <f t="shared" si="5"/>
        <v>2.4804177545691905E-2</v>
      </c>
      <c r="L4">
        <f>_xlfn.XLOOKUP(A4,Monthly_Summary!A:A,Monthly_Summary!I:I)</f>
        <v>-36373.72</v>
      </c>
      <c r="M4">
        <f>_xlfn.XLOOKUP(A4,tblBudget[Month],tblBudget[Budget_EBITDA])</f>
        <v>-35550</v>
      </c>
      <c r="N4">
        <f t="shared" si="6"/>
        <v>-823.72000000000116</v>
      </c>
      <c r="O4" s="5">
        <f t="shared" si="7"/>
        <v>-2.3170745428973311E-2</v>
      </c>
    </row>
    <row r="5" spans="1:15">
      <c r="A5" s="45">
        <v>45383</v>
      </c>
      <c r="B5" s="1" t="str">
        <f t="shared" si="0"/>
        <v>Apr-24</v>
      </c>
      <c r="C5" s="47">
        <f t="shared" si="1"/>
        <v>4</v>
      </c>
      <c r="D5">
        <f>_xlfn.XLOOKUP(A5,Monthly_Summary!A:A,Monthly_Summary!D:D)</f>
        <v>6583</v>
      </c>
      <c r="E5">
        <f>_xlfn.XLOOKUP(A5,tblBudget[Month],tblBudget[Budget_Total_Revenue])</f>
        <v>5400</v>
      </c>
      <c r="F5">
        <f t="shared" si="2"/>
        <v>1183</v>
      </c>
      <c r="G5">
        <f t="shared" si="3"/>
        <v>0.21907407407407409</v>
      </c>
      <c r="H5">
        <f>_xlfn.XLOOKUP(A5,Monthly_Summary!A:A,Monthly_Summary!E:E)</f>
        <v>41550</v>
      </c>
      <c r="I5">
        <f>_xlfn.XLOOKUP(A5,tblBudget[Month],tblBudget[Budget_Operating_Expenses])</f>
        <v>40200</v>
      </c>
      <c r="J5">
        <f t="shared" si="4"/>
        <v>1350</v>
      </c>
      <c r="K5">
        <f t="shared" si="5"/>
        <v>3.3582089552238806E-2</v>
      </c>
      <c r="L5">
        <f>_xlfn.XLOOKUP(A5,Monthly_Summary!A:A,Monthly_Summary!I:I)</f>
        <v>-37271.050000000003</v>
      </c>
      <c r="M5">
        <f>_xlfn.XLOOKUP(A5,tblBudget[Month],tblBudget[Budget_EBITDA])</f>
        <v>-36550</v>
      </c>
      <c r="N5">
        <f t="shared" si="6"/>
        <v>-721.05000000000291</v>
      </c>
      <c r="O5" s="5">
        <f t="shared" si="7"/>
        <v>-1.9727770177838656E-2</v>
      </c>
    </row>
    <row r="6" spans="1:15">
      <c r="A6" s="45">
        <v>45413</v>
      </c>
      <c r="B6" s="1" t="str">
        <f t="shared" si="0"/>
        <v>May-24</v>
      </c>
      <c r="C6" s="47">
        <f t="shared" si="1"/>
        <v>5</v>
      </c>
      <c r="D6">
        <f>_xlfn.XLOOKUP(A6,Monthly_Summary!A:A,Monthly_Summary!D:D)</f>
        <v>7280</v>
      </c>
      <c r="E6">
        <f>_xlfn.XLOOKUP(A6,tblBudget[Month],tblBudget[Budget_Total_Revenue])</f>
        <v>5950</v>
      </c>
      <c r="F6">
        <f t="shared" si="2"/>
        <v>1330</v>
      </c>
      <c r="G6">
        <f t="shared" si="3"/>
        <v>0.22352941176470589</v>
      </c>
      <c r="H6">
        <f>_xlfn.XLOOKUP(A6,Monthly_Summary!A:A,Monthly_Summary!E:E)</f>
        <v>44600</v>
      </c>
      <c r="I6">
        <f>_xlfn.XLOOKUP(A6,tblBudget[Month],tblBudget[Budget_Operating_Expenses])</f>
        <v>41500</v>
      </c>
      <c r="J6">
        <f t="shared" si="4"/>
        <v>3100</v>
      </c>
      <c r="K6">
        <f t="shared" si="5"/>
        <v>7.4698795180722893E-2</v>
      </c>
      <c r="L6">
        <f>_xlfn.XLOOKUP(A6,Monthly_Summary!A:A,Monthly_Summary!I:I)</f>
        <v>-39940.800000000003</v>
      </c>
      <c r="M6">
        <f>_xlfn.XLOOKUP(A6,tblBudget[Month],tblBudget[Budget_EBITDA])</f>
        <v>-37500</v>
      </c>
      <c r="N6">
        <f t="shared" si="6"/>
        <v>-2440.8000000000029</v>
      </c>
      <c r="O6" s="5">
        <f t="shared" si="7"/>
        <v>-6.5088000000000076E-2</v>
      </c>
    </row>
    <row r="7" spans="1:15">
      <c r="A7" s="46">
        <v>45444</v>
      </c>
      <c r="B7" s="1" t="str">
        <f t="shared" si="0"/>
        <v>Jun-24</v>
      </c>
      <c r="C7" s="47">
        <f t="shared" si="1"/>
        <v>6</v>
      </c>
      <c r="D7" s="10">
        <f>_xlfn.XLOOKUP(A7,Monthly_Summary!A:A,Monthly_Summary!D:D)</f>
        <v>9531</v>
      </c>
      <c r="E7" s="10">
        <f>_xlfn.XLOOKUP(A7,tblBudget[Month],tblBudget[Budget_Total_Revenue])</f>
        <v>7000</v>
      </c>
      <c r="F7" s="10">
        <f t="shared" si="2"/>
        <v>2531</v>
      </c>
      <c r="G7" s="10">
        <f t="shared" si="3"/>
        <v>0.3615714285714286</v>
      </c>
      <c r="H7" s="10">
        <f>_xlfn.XLOOKUP(A7,Monthly_Summary!A:A,Monthly_Summary!E:E)</f>
        <v>43750</v>
      </c>
      <c r="I7" s="10">
        <f>_xlfn.XLOOKUP(A7,tblBudget[Month],tblBudget[Budget_Operating_Expenses])</f>
        <v>42100</v>
      </c>
      <c r="J7" s="10">
        <f t="shared" si="4"/>
        <v>1650</v>
      </c>
      <c r="K7" s="10">
        <f t="shared" si="5"/>
        <v>3.9192399049881234E-2</v>
      </c>
      <c r="L7" s="10">
        <f>_xlfn.XLOOKUP(A7,Monthly_Summary!A:A,Monthly_Summary!I:I)</f>
        <v>-37745.47</v>
      </c>
      <c r="M7" s="10">
        <f>_xlfn.XLOOKUP(A7,tblBudget[Month],tblBudget[Budget_EBITDA])</f>
        <v>-37300</v>
      </c>
      <c r="N7" s="10">
        <f t="shared" si="6"/>
        <v>-445.47000000000116</v>
      </c>
      <c r="O7" s="6">
        <f t="shared" si="7"/>
        <v>-1.1942895442359281E-2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8"/>
  <sheetViews>
    <sheetView workbookViewId="0"/>
  </sheetViews>
  <sheetFormatPr defaultRowHeight="14.4"/>
  <cols>
    <col min="1" max="1" width="16.88671875" customWidth="1"/>
    <col min="2" max="7" width="11.77734375" customWidth="1"/>
  </cols>
  <sheetData>
    <row r="1" spans="1:7">
      <c r="A1" s="7" t="s">
        <v>95</v>
      </c>
      <c r="B1" s="50">
        <v>45292</v>
      </c>
      <c r="C1" s="50">
        <v>45323</v>
      </c>
      <c r="D1" s="50">
        <v>45352</v>
      </c>
      <c r="E1" s="50">
        <v>45383</v>
      </c>
      <c r="F1" s="50">
        <v>45413</v>
      </c>
      <c r="G1" s="51">
        <v>45444</v>
      </c>
    </row>
    <row r="2" spans="1:7">
      <c r="A2" s="11" t="s">
        <v>96</v>
      </c>
      <c r="B2" s="12">
        <f>_xlfn.XLOOKUP(B$1,Monthly_Summary!$A:$A,Monthly_Summary!$D:$D)</f>
        <v>4187</v>
      </c>
      <c r="C2" s="12">
        <f>_xlfn.XLOOKUP(C$1,Monthly_Summary!$A:$A,Monthly_Summary!$D:$D)</f>
        <v>3052</v>
      </c>
      <c r="D2" s="12">
        <f>_xlfn.XLOOKUP(D$1,Monthly_Summary!$A:$A,Monthly_Summary!$D:$D)</f>
        <v>4358</v>
      </c>
      <c r="E2" s="12">
        <f>_xlfn.XLOOKUP(E$1,Monthly_Summary!$A:$A,Monthly_Summary!$D:$D)</f>
        <v>6583</v>
      </c>
      <c r="F2" s="12">
        <f>_xlfn.XLOOKUP(F$1,Monthly_Summary!$A:$A,Monthly_Summary!$D:$D)</f>
        <v>7280</v>
      </c>
      <c r="G2" s="13">
        <f>_xlfn.XLOOKUP(G$1,Monthly_Summary!$A:$A,Monthly_Summary!$D:$D)</f>
        <v>9531</v>
      </c>
    </row>
    <row r="3" spans="1:7">
      <c r="A3" s="11" t="s">
        <v>97</v>
      </c>
      <c r="B3" s="12">
        <f>_xlfn.XLOOKUP(B$1,Monthly_Summary!$A:$A,Monthly_Summary!$F:$F)</f>
        <v>1297.9700000000003</v>
      </c>
      <c r="C3" s="12">
        <f>_xlfn.XLOOKUP(C$1,Monthly_Summary!$A:$A,Monthly_Summary!$F:$F)</f>
        <v>976.63999999999987</v>
      </c>
      <c r="D3" s="12">
        <f>_xlfn.XLOOKUP(D$1,Monthly_Summary!$A:$A,Monthly_Summary!$F:$F)</f>
        <v>1481.7199999999998</v>
      </c>
      <c r="E3" s="12">
        <f>_xlfn.XLOOKUP(E$1,Monthly_Summary!$A:$A,Monthly_Summary!$F:$F)</f>
        <v>2304.0500000000002</v>
      </c>
      <c r="F3" s="12">
        <f>_xlfn.XLOOKUP(F$1,Monthly_Summary!$A:$A,Monthly_Summary!$F:$F)</f>
        <v>2620.8000000000002</v>
      </c>
      <c r="G3" s="13">
        <f>_xlfn.XLOOKUP(G$1,Monthly_Summary!$A:$A,Monthly_Summary!$F:$F)</f>
        <v>3526.4700000000003</v>
      </c>
    </row>
    <row r="4" spans="1:7">
      <c r="A4" s="11" t="s">
        <v>98</v>
      </c>
      <c r="B4" s="12">
        <f>B2-B3</f>
        <v>2889.0299999999997</v>
      </c>
      <c r="C4" s="12">
        <f t="shared" ref="C4:G4" si="0">C2-C3</f>
        <v>2075.36</v>
      </c>
      <c r="D4" s="12">
        <f t="shared" si="0"/>
        <v>2876.28</v>
      </c>
      <c r="E4" s="12">
        <f t="shared" si="0"/>
        <v>4278.95</v>
      </c>
      <c r="F4" s="12">
        <f t="shared" si="0"/>
        <v>4659.2</v>
      </c>
      <c r="G4" s="13">
        <f t="shared" si="0"/>
        <v>6004.53</v>
      </c>
    </row>
    <row r="5" spans="1:7">
      <c r="A5" s="11" t="s">
        <v>99</v>
      </c>
      <c r="B5" s="14">
        <f>B4/B2</f>
        <v>0.69</v>
      </c>
      <c r="C5" s="14">
        <f t="shared" ref="C5:G5" si="1">C4/C2</f>
        <v>0.68</v>
      </c>
      <c r="D5" s="14">
        <f t="shared" si="1"/>
        <v>0.66</v>
      </c>
      <c r="E5" s="14">
        <f t="shared" si="1"/>
        <v>0.65</v>
      </c>
      <c r="F5" s="14">
        <f t="shared" si="1"/>
        <v>0.64</v>
      </c>
      <c r="G5" s="15">
        <f t="shared" si="1"/>
        <v>0.63</v>
      </c>
    </row>
    <row r="6" spans="1:7">
      <c r="A6" s="11" t="s">
        <v>100</v>
      </c>
      <c r="B6" s="12">
        <f>_xlfn.XLOOKUP(B$1,Monthly_Summary!$A:$A,Monthly_Summary!$E:$E)</f>
        <v>37850</v>
      </c>
      <c r="C6" s="12">
        <f>_xlfn.XLOOKUP(C$1,Monthly_Summary!$A:$A,Monthly_Summary!$E:$E)</f>
        <v>38000</v>
      </c>
      <c r="D6" s="12">
        <f>_xlfn.XLOOKUP(D$1,Monthly_Summary!$A:$A,Monthly_Summary!$E:$E)</f>
        <v>39250</v>
      </c>
      <c r="E6" s="12">
        <f>_xlfn.XLOOKUP(E$1,Monthly_Summary!$A:$A,Monthly_Summary!$E:$E)</f>
        <v>41550</v>
      </c>
      <c r="F6" s="12">
        <f>_xlfn.XLOOKUP(F$1,Monthly_Summary!$A:$A,Monthly_Summary!$E:$E)</f>
        <v>44600</v>
      </c>
      <c r="G6" s="13">
        <f>_xlfn.XLOOKUP(G$1,Monthly_Summary!$A:$A,Monthly_Summary!$E:$E)</f>
        <v>43750</v>
      </c>
    </row>
    <row r="7" spans="1:7">
      <c r="A7" s="11" t="s">
        <v>84</v>
      </c>
      <c r="B7" s="12">
        <f>B4-B6</f>
        <v>-34960.97</v>
      </c>
      <c r="C7" s="12">
        <f t="shared" ref="C7:G7" si="2">C4-C6</f>
        <v>-35924.639999999999</v>
      </c>
      <c r="D7" s="12">
        <f t="shared" si="2"/>
        <v>-36373.72</v>
      </c>
      <c r="E7" s="12">
        <f t="shared" si="2"/>
        <v>-37271.050000000003</v>
      </c>
      <c r="F7" s="12">
        <f t="shared" si="2"/>
        <v>-39940.800000000003</v>
      </c>
      <c r="G7" s="13">
        <f t="shared" si="2"/>
        <v>-37745.47</v>
      </c>
    </row>
    <row r="8" spans="1:7">
      <c r="A8" s="16" t="s">
        <v>101</v>
      </c>
      <c r="B8" s="17">
        <f>B7/B2</f>
        <v>-8.3498853594459046</v>
      </c>
      <c r="C8" s="17">
        <f t="shared" ref="C8:G8" si="3">C7/C2</f>
        <v>-11.770851900393184</v>
      </c>
      <c r="D8" s="17">
        <f t="shared" si="3"/>
        <v>-8.3464249655805425</v>
      </c>
      <c r="E8" s="17">
        <f t="shared" si="3"/>
        <v>-5.6617119854169839</v>
      </c>
      <c r="F8" s="17">
        <f t="shared" si="3"/>
        <v>-5.4863736263736271</v>
      </c>
      <c r="G8" s="18">
        <f t="shared" si="3"/>
        <v>-3.9602843353268282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12"/>
  <sheetViews>
    <sheetView workbookViewId="0"/>
  </sheetViews>
  <sheetFormatPr defaultRowHeight="14.4"/>
  <cols>
    <col min="1" max="1" width="14.21875" customWidth="1"/>
    <col min="2" max="2" width="14.6640625" customWidth="1"/>
    <col min="3" max="3" width="10.33203125" customWidth="1"/>
    <col min="4" max="4" width="11.44140625" customWidth="1"/>
    <col min="5" max="5" width="14.5546875" customWidth="1"/>
    <col min="6" max="6" width="15.88671875" customWidth="1"/>
    <col min="7" max="7" width="14.77734375" customWidth="1"/>
  </cols>
  <sheetData>
    <row r="1" spans="1:11" ht="21">
      <c r="A1" s="53" t="s">
        <v>102</v>
      </c>
      <c r="B1" s="54"/>
      <c r="C1" s="54"/>
      <c r="D1" s="54"/>
      <c r="E1" s="54"/>
      <c r="F1" s="54"/>
      <c r="G1" s="55"/>
    </row>
    <row r="3" spans="1:11">
      <c r="A3" s="7" t="s">
        <v>70</v>
      </c>
      <c r="B3" s="8" t="s">
        <v>103</v>
      </c>
      <c r="C3" s="8" t="s">
        <v>65</v>
      </c>
      <c r="D3" s="8" t="s">
        <v>74</v>
      </c>
      <c r="E3" s="20" t="s">
        <v>75</v>
      </c>
      <c r="F3" s="8" t="s">
        <v>104</v>
      </c>
      <c r="G3" s="9" t="s">
        <v>105</v>
      </c>
    </row>
    <row r="4" spans="1:11">
      <c r="A4" s="11" t="s">
        <v>77</v>
      </c>
      <c r="B4" s="14">
        <f>_xlfn.XLOOKUP(A4,tblScenarios[Scenario],tblScenarios[Customer_Growth_Rate])</f>
        <v>0.08</v>
      </c>
      <c r="C4" s="14">
        <f>_xlfn.XLOOKUP(A4,tblScenarios[Scenario],tblScenarios[Churn_Rate])</f>
        <v>0.04</v>
      </c>
      <c r="D4" s="14">
        <f>_xlfn.XLOOKUP(A4,tblScenarios[Scenario],tblScenarios[CAC_Change])</f>
        <v>0.05</v>
      </c>
      <c r="E4" s="35">
        <f>_xlfn.XLOOKUP(A4,tblScenarios[Scenario],tblScenarios[Payroll_Inflation])</f>
        <v>0.04</v>
      </c>
      <c r="F4" s="12">
        <f>_xlfn.XLOOKUP(DATE(2024,6,1),Monthly_Summary!$A:$A,Monthly_Summary!$D:$D)*(1+B4)</f>
        <v>10293.480000000001</v>
      </c>
      <c r="G4" s="13">
        <f>_xlfn.XLOOKUP(DATE(2024,6,1),Monthly_Summary!$A:$A,Monthly_Summary!$I:$I)+((F4-_xlfn.XLOOKUP(DATE(2024,6,1),Monthly_Summary!$A:$A,Monthly_Summary!$D:$D))*65%)-(_xlfn.XLOOKUP(DATE(2024,6,1),Monthly_Summary!$A:$A,Monthly_Summary!$E:$E)*E4)</f>
        <v>-38999.858</v>
      </c>
    </row>
    <row r="5" spans="1:11">
      <c r="A5" s="11" t="s">
        <v>78</v>
      </c>
      <c r="B5" s="14">
        <f>_xlfn.XLOOKUP(A5,tblScenarios[Scenario],tblScenarios[Customer_Growth_Rate])</f>
        <v>0.12</v>
      </c>
      <c r="C5" s="14">
        <f>_xlfn.XLOOKUP(A5,tblScenarios[Scenario],tblScenarios[Churn_Rate])</f>
        <v>0.02</v>
      </c>
      <c r="D5" s="14">
        <f>_xlfn.XLOOKUP(A5,tblScenarios[Scenario],tblScenarios[CAC_Change])</f>
        <v>0</v>
      </c>
      <c r="E5" s="35">
        <f>_xlfn.XLOOKUP(A5,tblScenarios[Scenario],tblScenarios[Payroll_Inflation])</f>
        <v>0.03</v>
      </c>
      <c r="F5" s="12">
        <f>_xlfn.XLOOKUP(DATE(2024,6,1),Monthly_Summary!$A:$A,Monthly_Summary!$D:$D)*(1+B5)</f>
        <v>10674.720000000001</v>
      </c>
      <c r="G5" s="13">
        <f>_xlfn.XLOOKUP(DATE(2024,6,1),Monthly_Summary!$A:$A,Monthly_Summary!$I:$I)+((F5-_xlfn.XLOOKUP(DATE(2024,6,1),Monthly_Summary!$A:$A,Monthly_Summary!$D:$D))*65%)-(_xlfn.XLOOKUP(DATE(2024,6,1),Monthly_Summary!$A:$A,Monthly_Summary!$E:$E)*E5)</f>
        <v>-38314.552000000003</v>
      </c>
    </row>
    <row r="6" spans="1:11">
      <c r="A6" s="16" t="s">
        <v>79</v>
      </c>
      <c r="B6" s="17">
        <f>_xlfn.XLOOKUP(A6,tblScenarios[Scenario],tblScenarios[Customer_Growth_Rate])</f>
        <v>0.04</v>
      </c>
      <c r="C6" s="17">
        <f>_xlfn.XLOOKUP(A6,tblScenarios[Scenario],tblScenarios[Churn_Rate])</f>
        <v>0.08</v>
      </c>
      <c r="D6" s="17">
        <f>_xlfn.XLOOKUP(A6,tblScenarios[Scenario],tblScenarios[CAC_Change])</f>
        <v>0.12</v>
      </c>
      <c r="E6" s="36">
        <f>_xlfn.XLOOKUP(A6,tblScenarios[Scenario],tblScenarios[Payroll_Inflation])</f>
        <v>0.06</v>
      </c>
      <c r="F6" s="21">
        <f>_xlfn.XLOOKUP(DATE(2024,6,1),Monthly_Summary!$A:$A,Monthly_Summary!$D:$D)*(1+B6)</f>
        <v>9912.24</v>
      </c>
      <c r="G6" s="22">
        <f>_xlfn.XLOOKUP(DATE(2024,6,1),Monthly_Summary!$A:$A,Monthly_Summary!$I:$I)+((F6-_xlfn.XLOOKUP(DATE(2024,6,1),Monthly_Summary!$A:$A,Monthly_Summary!$D:$D))*65%)-(_xlfn.XLOOKUP(DATE(2024,6,1),Monthly_Summary!$A:$A,Monthly_Summary!$E:$E)*E6)</f>
        <v>-40122.664000000004</v>
      </c>
    </row>
    <row r="9" spans="1:11">
      <c r="A9" s="56" t="s">
        <v>106</v>
      </c>
      <c r="B9" s="57"/>
      <c r="C9" s="58"/>
    </row>
    <row r="10" spans="1:11">
      <c r="A10" s="39" t="s">
        <v>107</v>
      </c>
      <c r="B10" s="59" t="s">
        <v>108</v>
      </c>
      <c r="C10" s="59"/>
      <c r="D10" s="59"/>
      <c r="E10" s="59"/>
      <c r="F10" s="59"/>
      <c r="G10" s="59"/>
      <c r="H10" s="59"/>
      <c r="I10" s="59"/>
      <c r="J10" s="59"/>
      <c r="K10" s="60"/>
    </row>
    <row r="11" spans="1:11">
      <c r="A11" s="39" t="s">
        <v>109</v>
      </c>
      <c r="B11" s="59" t="s">
        <v>110</v>
      </c>
      <c r="C11" s="59"/>
      <c r="D11" s="59"/>
      <c r="E11" s="59"/>
      <c r="F11" s="59"/>
      <c r="G11" s="59"/>
      <c r="H11" s="60"/>
      <c r="I11" s="3"/>
      <c r="J11" s="3"/>
      <c r="K11" s="3"/>
    </row>
    <row r="12" spans="1:11">
      <c r="A12" s="39" t="s">
        <v>111</v>
      </c>
      <c r="B12" s="59" t="s">
        <v>112</v>
      </c>
      <c r="C12" s="59"/>
      <c r="D12" s="59"/>
      <c r="E12" s="59"/>
      <c r="F12" s="59"/>
      <c r="G12" s="59"/>
      <c r="H12" s="59"/>
      <c r="I12" s="59"/>
      <c r="J12" s="59"/>
      <c r="K12" s="60"/>
    </row>
  </sheetData>
  <mergeCells count="5">
    <mergeCell ref="A1:G1"/>
    <mergeCell ref="A9:C9"/>
    <mergeCell ref="B10:K10"/>
    <mergeCell ref="B11:H11"/>
    <mergeCell ref="B12:K1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28"/>
  <sheetViews>
    <sheetView workbookViewId="0"/>
  </sheetViews>
  <sheetFormatPr defaultRowHeight="14.4"/>
  <cols>
    <col min="1" max="1" width="24.109375" customWidth="1"/>
    <col min="2" max="2" width="11.5546875" customWidth="1"/>
    <col min="5" max="5" width="11.21875" customWidth="1"/>
  </cols>
  <sheetData>
    <row r="1" spans="1:5" ht="21">
      <c r="A1" s="64" t="s">
        <v>113</v>
      </c>
      <c r="B1" s="64"/>
      <c r="C1" s="64"/>
      <c r="D1" s="64"/>
      <c r="E1" s="64"/>
    </row>
    <row r="3" spans="1:5">
      <c r="A3" s="24" t="s">
        <v>114</v>
      </c>
      <c r="B3" s="19" t="str">
        <f>TEXT(DATE(2024,6,1),"mmm-yy")</f>
        <v>Jun-24</v>
      </c>
    </row>
    <row r="5" spans="1:5">
      <c r="A5" s="23" t="s">
        <v>115</v>
      </c>
      <c r="D5" s="65" t="s">
        <v>116</v>
      </c>
      <c r="E5" s="66"/>
    </row>
    <row r="6" spans="1:5" ht="57.6">
      <c r="A6" s="26" t="s">
        <v>117</v>
      </c>
      <c r="B6" s="34">
        <f>_xlfn.XLOOKUP(DATE(2024,6,1),Monthly_Summary!$A:$A,Monthly_Summary!$D:$D)</f>
        <v>9531</v>
      </c>
      <c r="C6" s="4"/>
      <c r="D6" s="33" t="s">
        <v>118</v>
      </c>
      <c r="E6" s="37">
        <f>_xlfn.XLOOKUP("Base Case",Scenario_Analysis!$A:$A,Scenario_Analysis!$F:$F)</f>
        <v>10293.480000000001</v>
      </c>
    </row>
    <row r="7" spans="1:5" ht="57.6">
      <c r="A7" s="27" t="s">
        <v>119</v>
      </c>
      <c r="B7" s="28">
        <f>_xlfn.XLOOKUP(DATE(2024,6,1),Monthly_Summary!$A:$A,Monthly_Summary!$H:$H)</f>
        <v>0.63</v>
      </c>
      <c r="C7" s="2"/>
      <c r="D7" s="25" t="s">
        <v>120</v>
      </c>
      <c r="E7" s="38">
        <f>_xlfn.XLOOKUP("Upside Case",Scenario_Analysis!$A:$A,Scenario_Analysis!$F:$F)</f>
        <v>10674.720000000001</v>
      </c>
    </row>
    <row r="8" spans="1:5" ht="57.6">
      <c r="A8" s="27" t="s">
        <v>100</v>
      </c>
      <c r="B8" s="29">
        <f>_xlfn.XLOOKUP(DATE(2024,6,1),Monthly_Summary!$A:$A,Monthly_Summary!$E:$E)</f>
        <v>43750</v>
      </c>
      <c r="C8" s="2"/>
      <c r="D8" s="25" t="s">
        <v>121</v>
      </c>
      <c r="E8" s="38">
        <f>_xlfn.XLOOKUP("Downside Case",Scenario_Analysis!$A:$A,Scenario_Analysis!$F:$F)</f>
        <v>9912.24</v>
      </c>
    </row>
    <row r="9" spans="1:5">
      <c r="A9" s="27" t="s">
        <v>84</v>
      </c>
      <c r="B9" s="29">
        <f>_xlfn.XLOOKUP(DATE(2024,6,1),Monthly_Summary!$A:$A,Monthly_Summary!$I:$I)</f>
        <v>-37745.47</v>
      </c>
      <c r="C9" s="2"/>
      <c r="D9" s="2"/>
    </row>
    <row r="10" spans="1:5">
      <c r="A10" s="27" t="s">
        <v>122</v>
      </c>
      <c r="B10" s="28">
        <f>_xlfn.XLOOKUP(DATE(2024,6,1),Monthly_Summary!$A:$A,Monthly_Summary!$J:$J)</f>
        <v>-3.9602843353268282</v>
      </c>
    </row>
    <row r="11" spans="1:5">
      <c r="A11" s="27" t="s">
        <v>123</v>
      </c>
      <c r="B11" s="30">
        <f>_xlfn.XLOOKUP(DATE(2024,6,1),Monthly_Summary!$A:$A,Monthly_Summary!$K:$K)</f>
        <v>5</v>
      </c>
    </row>
    <row r="12" spans="1:5">
      <c r="A12" s="27" t="s">
        <v>124</v>
      </c>
      <c r="B12" s="28">
        <f>_xlfn.XLOOKUP(DATE(2024,6,1),Monthly_Summary!$A:$A,Monthly_Summary!$L:$L)</f>
        <v>0.2</v>
      </c>
    </row>
    <row r="13" spans="1:5">
      <c r="A13" s="31" t="s">
        <v>67</v>
      </c>
      <c r="B13" s="32">
        <f>_xlfn.XLOOKUP(DATE(2024,6,1),Monthly_Summary!$A:$A,Monthly_Summary!$M:$M)</f>
        <v>10800</v>
      </c>
    </row>
    <row r="14" spans="1:5">
      <c r="A14" s="2"/>
      <c r="B14" s="2"/>
    </row>
    <row r="16" spans="1:5" ht="15.6">
      <c r="A16" s="61" t="s">
        <v>125</v>
      </c>
      <c r="B16" s="62"/>
    </row>
    <row r="17" spans="1:3" ht="46.05" customHeight="1">
      <c r="A17" s="67" t="s">
        <v>126</v>
      </c>
      <c r="B17" s="68"/>
      <c r="C17" s="2"/>
    </row>
    <row r="18" spans="1:3" ht="34.5" customHeight="1">
      <c r="A18" s="67" t="s">
        <v>127</v>
      </c>
      <c r="B18" s="68"/>
    </row>
    <row r="19" spans="1:3" ht="34.5" customHeight="1">
      <c r="A19" s="67" t="s">
        <v>128</v>
      </c>
      <c r="B19" s="68"/>
    </row>
    <row r="20" spans="1:3" ht="58.05" customHeight="1">
      <c r="A20" s="70" t="s">
        <v>129</v>
      </c>
      <c r="B20" s="71"/>
    </row>
    <row r="21" spans="1:3">
      <c r="A21" s="2"/>
      <c r="B21" s="2"/>
    </row>
    <row r="23" spans="1:3">
      <c r="A23" s="69" t="s">
        <v>130</v>
      </c>
      <c r="B23" s="69"/>
    </row>
    <row r="24" spans="1:3" ht="34.5" customHeight="1">
      <c r="A24" s="63" t="s">
        <v>131</v>
      </c>
      <c r="B24" s="63"/>
    </row>
    <row r="25" spans="1:3" ht="46.05" customHeight="1">
      <c r="A25" s="63" t="s">
        <v>132</v>
      </c>
      <c r="B25" s="63"/>
    </row>
    <row r="26" spans="1:3" ht="46.05" customHeight="1">
      <c r="A26" s="63" t="s">
        <v>133</v>
      </c>
      <c r="B26" s="63"/>
    </row>
    <row r="27" spans="1:3" ht="34.5" customHeight="1">
      <c r="A27" s="63" t="s">
        <v>134</v>
      </c>
      <c r="B27" s="63"/>
    </row>
    <row r="28" spans="1:3">
      <c r="A28" s="2"/>
      <c r="B28" s="2"/>
    </row>
  </sheetData>
  <mergeCells count="12">
    <mergeCell ref="A26:B26"/>
    <mergeCell ref="A27:B27"/>
    <mergeCell ref="A23:B23"/>
    <mergeCell ref="A20:B20"/>
    <mergeCell ref="A17:B17"/>
    <mergeCell ref="A16:B16"/>
    <mergeCell ref="A24:B24"/>
    <mergeCell ref="A25:B25"/>
    <mergeCell ref="A1:E1"/>
    <mergeCell ref="D5:E5"/>
    <mergeCell ref="A18:B18"/>
    <mergeCell ref="A19:B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BvA_Report</vt:lpstr>
      <vt:lpstr>README</vt:lpstr>
      <vt:lpstr>Revenue_Data</vt:lpstr>
      <vt:lpstr>Customers</vt:lpstr>
      <vt:lpstr>Date_Table</vt:lpstr>
      <vt:lpstr>Expense_Data</vt:lpstr>
      <vt:lpstr>Budget_Data</vt:lpstr>
      <vt:lpstr>KPI_Data</vt:lpstr>
      <vt:lpstr>Scenario_Inputs</vt:lpstr>
      <vt:lpstr>Monthly_Summary</vt:lpstr>
      <vt:lpstr>Budget_vs_Actual</vt:lpstr>
      <vt:lpstr>P&amp;L_Model</vt:lpstr>
      <vt:lpstr>Scenario_Analysis</vt:lpstr>
      <vt:lpstr>CFO_Summary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pawarrrsrush67@gmail.com</cp:lastModifiedBy>
  <dcterms:modified xsi:type="dcterms:W3CDTF">2026-10-12T20:53:41Z</dcterms:modified>
</cp:coreProperties>
</file>